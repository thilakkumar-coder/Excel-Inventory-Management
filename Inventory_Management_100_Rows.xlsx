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2.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Sasi Priya\Downloads\DA Files\"/>
    </mc:Choice>
  </mc:AlternateContent>
  <xr:revisionPtr revIDLastSave="0" documentId="13_ncr:1_{A7063658-EE6F-4C5B-A15D-75954D4DB194}" xr6:coauthVersionLast="47" xr6:coauthVersionMax="47" xr10:uidLastSave="{00000000-0000-0000-0000-000000000000}"/>
  <bookViews>
    <workbookView xWindow="-108" yWindow="-108" windowWidth="23256" windowHeight="12456" firstSheet="1" activeTab="1" xr2:uid="{00000000-000D-0000-FFFF-FFFF00000000}"/>
  </bookViews>
  <sheets>
    <sheet name="pivots" sheetId="5" r:id="rId1"/>
    <sheet name="Dashboard2" sheetId="6" r:id="rId2"/>
    <sheet name="Inventory_Data" sheetId="1" r:id="rId3"/>
    <sheet name="KPIs&amp;Questions" sheetId="4" r:id="rId4"/>
    <sheet name="Analysis" sheetId="2" r:id="rId5"/>
    <sheet name="Dashboard" sheetId="3" r:id="rId6"/>
  </sheets>
  <definedNames>
    <definedName name="Slicer_Category">#N/A</definedName>
  </definedNames>
  <calcPr calcId="191029"/>
  <pivotCaches>
    <pivotCache cacheId="4" r:id="rId7"/>
  </pivotCaches>
  <extLst>
    <ext xmlns:x14="http://schemas.microsoft.com/office/spreadsheetml/2009/9/main" uri="{BBE1A952-AA13-448e-AADC-164F8A28A991}">
      <x14:slicerCaches>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4" i="5" l="1"/>
  <c r="I4" i="5"/>
  <c r="H4" i="5"/>
  <c r="G4" i="5"/>
  <c r="I101" i="1"/>
  <c r="I100" i="1"/>
  <c r="I99" i="1"/>
  <c r="I98" i="1"/>
  <c r="I97" i="1"/>
  <c r="I96" i="1"/>
  <c r="I95" i="1"/>
  <c r="I94" i="1"/>
  <c r="I93" i="1"/>
  <c r="I92" i="1"/>
  <c r="I91" i="1"/>
  <c r="I90" i="1"/>
  <c r="I89" i="1"/>
  <c r="I88" i="1"/>
  <c r="I87" i="1"/>
  <c r="I86" i="1"/>
  <c r="I85" i="1"/>
  <c r="I84" i="1"/>
  <c r="I83" i="1"/>
  <c r="I82" i="1"/>
  <c r="I81" i="1"/>
  <c r="I80" i="1"/>
  <c r="I79" i="1"/>
  <c r="I78" i="1"/>
  <c r="I77" i="1"/>
  <c r="I76" i="1"/>
  <c r="I75" i="1"/>
  <c r="I74" i="1"/>
  <c r="I73" i="1"/>
  <c r="I72" i="1"/>
  <c r="I71" i="1"/>
  <c r="I70" i="1"/>
  <c r="I69" i="1"/>
  <c r="I68" i="1"/>
  <c r="I67" i="1"/>
  <c r="I66" i="1"/>
  <c r="I65" i="1"/>
  <c r="I64" i="1"/>
  <c r="I63" i="1"/>
  <c r="I62" i="1"/>
  <c r="I61" i="1"/>
  <c r="I60" i="1"/>
  <c r="I59" i="1"/>
  <c r="I58" i="1"/>
  <c r="I57" i="1"/>
  <c r="I56" i="1"/>
  <c r="I55" i="1"/>
  <c r="I54" i="1"/>
  <c r="I53" i="1"/>
  <c r="I52" i="1"/>
  <c r="I51" i="1"/>
  <c r="I50" i="1"/>
  <c r="I49" i="1"/>
  <c r="I48" i="1"/>
  <c r="I47" i="1"/>
  <c r="I46" i="1"/>
  <c r="I45" i="1"/>
  <c r="I44" i="1"/>
  <c r="I43" i="1"/>
  <c r="I42" i="1"/>
  <c r="I41" i="1"/>
  <c r="I40" i="1"/>
  <c r="I39" i="1"/>
  <c r="I38" i="1"/>
  <c r="I37" i="1"/>
  <c r="I36" i="1"/>
  <c r="I35" i="1"/>
  <c r="I34" i="1"/>
  <c r="I33" i="1"/>
  <c r="I32" i="1"/>
  <c r="I31" i="1"/>
  <c r="I30" i="1"/>
  <c r="I29" i="1"/>
  <c r="I28" i="1"/>
  <c r="I27" i="1"/>
  <c r="I26" i="1"/>
  <c r="I25" i="1"/>
  <c r="I24" i="1"/>
  <c r="I23" i="1"/>
  <c r="I22" i="1"/>
  <c r="I21" i="1"/>
  <c r="I20" i="1"/>
  <c r="I19" i="1"/>
  <c r="I18" i="1"/>
  <c r="I17" i="1"/>
  <c r="I16" i="1"/>
  <c r="I15" i="1"/>
  <c r="I14" i="1"/>
  <c r="I13" i="1"/>
  <c r="I12" i="1"/>
  <c r="I11" i="1"/>
  <c r="I10" i="1"/>
  <c r="I9" i="1"/>
  <c r="I8" i="1"/>
  <c r="I7" i="1"/>
  <c r="I6" i="1"/>
  <c r="I5" i="1"/>
  <c r="I4" i="1"/>
  <c r="I3" i="1"/>
  <c r="I2" i="1"/>
</calcChain>
</file>

<file path=xl/sharedStrings.xml><?xml version="1.0" encoding="utf-8"?>
<sst xmlns="http://schemas.openxmlformats.org/spreadsheetml/2006/main" count="536" uniqueCount="167">
  <si>
    <t>Product ID</t>
  </si>
  <si>
    <t>Date</t>
  </si>
  <si>
    <t>Product</t>
  </si>
  <si>
    <t>Category</t>
  </si>
  <si>
    <t>Supplier</t>
  </si>
  <si>
    <t>Stock</t>
  </si>
  <si>
    <t>Reorder Level</t>
  </si>
  <si>
    <t>Unit Price</t>
  </si>
  <si>
    <t>Stock Value</t>
  </si>
  <si>
    <t>P001</t>
  </si>
  <si>
    <t>Notebook</t>
  </si>
  <si>
    <t>Stationery</t>
  </si>
  <si>
    <t>OfficeMart</t>
  </si>
  <si>
    <t>P002</t>
  </si>
  <si>
    <t>Monitor</t>
  </si>
  <si>
    <t>Electronics</t>
  </si>
  <si>
    <t>FurniCo</t>
  </si>
  <si>
    <t>P003</t>
  </si>
  <si>
    <t>Desk</t>
  </si>
  <si>
    <t>Furniture</t>
  </si>
  <si>
    <t>Prime Traders</t>
  </si>
  <si>
    <t>P004</t>
  </si>
  <si>
    <t>Printer</t>
  </si>
  <si>
    <t>Office</t>
  </si>
  <si>
    <t>TechCorp</t>
  </si>
  <si>
    <t>P005</t>
  </si>
  <si>
    <t>P006</t>
  </si>
  <si>
    <t>P007</t>
  </si>
  <si>
    <t>P008</t>
  </si>
  <si>
    <t>Router</t>
  </si>
  <si>
    <t>Networking</t>
  </si>
  <si>
    <t>P009</t>
  </si>
  <si>
    <t>Mouse</t>
  </si>
  <si>
    <t>Global Supplies</t>
  </si>
  <si>
    <t>P010</t>
  </si>
  <si>
    <t>Keyboard</t>
  </si>
  <si>
    <t>P011</t>
  </si>
  <si>
    <t>Laptop</t>
  </si>
  <si>
    <t>P012</t>
  </si>
  <si>
    <t>P013</t>
  </si>
  <si>
    <t>P014</t>
  </si>
  <si>
    <t>P015</t>
  </si>
  <si>
    <t>P016</t>
  </si>
  <si>
    <t>Chair</t>
  </si>
  <si>
    <t>P017</t>
  </si>
  <si>
    <t>P018</t>
  </si>
  <si>
    <t>P019</t>
  </si>
  <si>
    <t>P020</t>
  </si>
  <si>
    <t>P021</t>
  </si>
  <si>
    <t>Pen</t>
  </si>
  <si>
    <t>P022</t>
  </si>
  <si>
    <t>P023</t>
  </si>
  <si>
    <t>P024</t>
  </si>
  <si>
    <t>P025</t>
  </si>
  <si>
    <t>P026</t>
  </si>
  <si>
    <t>P027</t>
  </si>
  <si>
    <t>P028</t>
  </si>
  <si>
    <t>P029</t>
  </si>
  <si>
    <t>P030</t>
  </si>
  <si>
    <t>P031</t>
  </si>
  <si>
    <t>P032</t>
  </si>
  <si>
    <t>P033</t>
  </si>
  <si>
    <t>P034</t>
  </si>
  <si>
    <t>P035</t>
  </si>
  <si>
    <t>P036</t>
  </si>
  <si>
    <t>P037</t>
  </si>
  <si>
    <t>P038</t>
  </si>
  <si>
    <t>P039</t>
  </si>
  <si>
    <t>P040</t>
  </si>
  <si>
    <t>P041</t>
  </si>
  <si>
    <t>P042</t>
  </si>
  <si>
    <t>P043</t>
  </si>
  <si>
    <t>P044</t>
  </si>
  <si>
    <t>P045</t>
  </si>
  <si>
    <t>P046</t>
  </si>
  <si>
    <t>P047</t>
  </si>
  <si>
    <t>P048</t>
  </si>
  <si>
    <t>P049</t>
  </si>
  <si>
    <t>P050</t>
  </si>
  <si>
    <t>P051</t>
  </si>
  <si>
    <t>P052</t>
  </si>
  <si>
    <t>P053</t>
  </si>
  <si>
    <t>P054</t>
  </si>
  <si>
    <t>P055</t>
  </si>
  <si>
    <t>P056</t>
  </si>
  <si>
    <t>P057</t>
  </si>
  <si>
    <t>P058</t>
  </si>
  <si>
    <t>P059</t>
  </si>
  <si>
    <t>P060</t>
  </si>
  <si>
    <t>P061</t>
  </si>
  <si>
    <t>P062</t>
  </si>
  <si>
    <t>P063</t>
  </si>
  <si>
    <t>P064</t>
  </si>
  <si>
    <t>P065</t>
  </si>
  <si>
    <t>P066</t>
  </si>
  <si>
    <t>P067</t>
  </si>
  <si>
    <t>P068</t>
  </si>
  <si>
    <t>P069</t>
  </si>
  <si>
    <t>P070</t>
  </si>
  <si>
    <t>P071</t>
  </si>
  <si>
    <t>P072</t>
  </si>
  <si>
    <t>P073</t>
  </si>
  <si>
    <t>P074</t>
  </si>
  <si>
    <t>P075</t>
  </si>
  <si>
    <t>P076</t>
  </si>
  <si>
    <t>P077</t>
  </si>
  <si>
    <t>P078</t>
  </si>
  <si>
    <t>P079</t>
  </si>
  <si>
    <t>P080</t>
  </si>
  <si>
    <t>P081</t>
  </si>
  <si>
    <t>P082</t>
  </si>
  <si>
    <t>P083</t>
  </si>
  <si>
    <t>P084</t>
  </si>
  <si>
    <t>P085</t>
  </si>
  <si>
    <t>P086</t>
  </si>
  <si>
    <t>P087</t>
  </si>
  <si>
    <t>P088</t>
  </si>
  <si>
    <t>P089</t>
  </si>
  <si>
    <t>P090</t>
  </si>
  <si>
    <t>P091</t>
  </si>
  <si>
    <t>P092</t>
  </si>
  <si>
    <t>P093</t>
  </si>
  <si>
    <t>P094</t>
  </si>
  <si>
    <t>P095</t>
  </si>
  <si>
    <t>P096</t>
  </si>
  <si>
    <t>P097</t>
  </si>
  <si>
    <t>P098</t>
  </si>
  <si>
    <t>P099</t>
  </si>
  <si>
    <t>P100</t>
  </si>
  <si>
    <t>Sum of Stock Value</t>
  </si>
  <si>
    <t>Sum of Unit Price</t>
  </si>
  <si>
    <t>Best Selling Product?</t>
  </si>
  <si>
    <t>Best Selling Supplier?</t>
  </si>
  <si>
    <t>Row Labels</t>
  </si>
  <si>
    <t>Grand Total</t>
  </si>
  <si>
    <t>Sum of Stock</t>
  </si>
  <si>
    <t>Column Labels</t>
  </si>
  <si>
    <t>prime Traders</t>
  </si>
  <si>
    <t>Jan</t>
  </si>
  <si>
    <t>Feb</t>
  </si>
  <si>
    <t>Mar</t>
  </si>
  <si>
    <t>Apr</t>
  </si>
  <si>
    <t>May</t>
  </si>
  <si>
    <t>Jun</t>
  </si>
  <si>
    <t>Jul</t>
  </si>
  <si>
    <t>High Stock Value by Date</t>
  </si>
  <si>
    <t>KPIs</t>
  </si>
  <si>
    <t xml:space="preserve">  Total Stock Value</t>
  </si>
  <si>
    <t xml:space="preserve">  Total Stock Quantity</t>
  </si>
  <si>
    <t>Total Suppliers</t>
  </si>
  <si>
    <t xml:space="preserve">  Total Suppliers</t>
  </si>
  <si>
    <t xml:space="preserve">  Average Unit price</t>
  </si>
  <si>
    <t>Questions</t>
  </si>
  <si>
    <t xml:space="preserve">  Which Products have the hightest stock value?</t>
  </si>
  <si>
    <t xml:space="preserve">  </t>
  </si>
  <si>
    <t xml:space="preserve">  Which category has the highest-value inventory?</t>
  </si>
  <si>
    <t xml:space="preserve">  Which supplier provides the highest-value inventory?</t>
  </si>
  <si>
    <t xml:space="preserve">  Which category have the most stock?</t>
  </si>
  <si>
    <t xml:space="preserve">  What is the average unit price by category?</t>
  </si>
  <si>
    <t>Count of Supplier</t>
  </si>
  <si>
    <t>Average of Unit Price</t>
  </si>
  <si>
    <t>Stock value</t>
  </si>
  <si>
    <t>Stock Quantity</t>
  </si>
  <si>
    <t>Avg.Unit Price</t>
  </si>
  <si>
    <t>Count of Product ID</t>
  </si>
  <si>
    <t>Count of Category</t>
  </si>
  <si>
    <t>(All)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</si>
</sst>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 &quot;₹&quot;\ * #,##0.00_ ;_ &quot;₹&quot;\ * \-#,##0.00_ ;_ &quot;₹&quot;\ * &quot;-&quot;??_ ;_ @_ "/>
    <numFmt numFmtId="164" formatCode="yyyy\-mm\-dd"/>
    <numFmt numFmtId="165" formatCode="dd/mmm/yyyy"/>
    <numFmt numFmtId="167" formatCode="_ [$₹-4009]\ * #,##0.00_ ;_ [$₹-4009]\ * \-#,##0.00_ ;_ [$₹-4009]\ * &quot;-&quot;??_ ;_ @_ "/>
  </numFmts>
  <fonts count="7" x14ac:knownFonts="1">
    <font>
      <sz val="11"/>
      <color theme="1"/>
      <name val="Calibri"/>
      <family val="2"/>
      <scheme val="minor"/>
    </font>
    <font>
      <b/>
      <sz val="11"/>
      <name val="Calibri"/>
    </font>
    <font>
      <sz val="11"/>
      <color theme="1"/>
      <name val="Calibri"/>
      <family val="2"/>
      <scheme val="minor"/>
    </font>
    <font>
      <b/>
      <sz val="11"/>
      <color theme="1"/>
      <name val="Calibri"/>
      <family val="2"/>
      <scheme val="minor"/>
    </font>
    <font>
      <b/>
      <sz val="11"/>
      <name val="Calibri"/>
      <family val="2"/>
    </font>
    <font>
      <b/>
      <sz val="11"/>
      <color theme="1"/>
      <name val="Aptos Display"/>
      <family val="2"/>
    </font>
    <font>
      <sz val="11"/>
      <color theme="1"/>
      <name val="Aptos Display"/>
      <family val="2"/>
    </font>
  </fonts>
  <fills count="4">
    <fill>
      <patternFill patternType="none"/>
    </fill>
    <fill>
      <patternFill patternType="gray125"/>
    </fill>
    <fill>
      <patternFill patternType="solid">
        <fgColor rgb="FF92D050"/>
        <bgColor indexed="64"/>
      </patternFill>
    </fill>
    <fill>
      <patternFill patternType="solid">
        <fgColor theme="0"/>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2">
    <xf numFmtId="0" fontId="0" fillId="0" borderId="0"/>
    <xf numFmtId="44" fontId="2" fillId="0" borderId="0" applyFont="0" applyFill="0" applyBorder="0" applyAlignment="0" applyProtection="0"/>
  </cellStyleXfs>
  <cellXfs count="26">
    <xf numFmtId="0" fontId="0" fillId="0" borderId="0" xfId="0"/>
    <xf numFmtId="0" fontId="0" fillId="0" borderId="1" xfId="0" applyBorder="1"/>
    <xf numFmtId="0" fontId="0" fillId="0" borderId="2" xfId="0" applyBorder="1"/>
    <xf numFmtId="0" fontId="0" fillId="0" borderId="3" xfId="0" applyBorder="1"/>
    <xf numFmtId="0" fontId="1" fillId="0" borderId="4" xfId="0" applyFont="1" applyBorder="1"/>
    <xf numFmtId="0" fontId="1" fillId="0" borderId="5" xfId="0" applyFont="1" applyBorder="1"/>
    <xf numFmtId="0" fontId="1" fillId="0" borderId="6" xfId="0" applyFont="1" applyBorder="1"/>
    <xf numFmtId="0" fontId="0" fillId="0" borderId="7" xfId="0" applyBorder="1"/>
    <xf numFmtId="0" fontId="0" fillId="0" borderId="8" xfId="0" applyBorder="1"/>
    <xf numFmtId="0" fontId="0" fillId="0" borderId="9" xfId="0" applyBorder="1"/>
    <xf numFmtId="0" fontId="0" fillId="0" borderId="0" xfId="0" pivotButton="1"/>
    <xf numFmtId="0" fontId="0" fillId="0" borderId="0" xfId="0" applyAlignment="1">
      <alignment horizontal="left"/>
    </xf>
    <xf numFmtId="165" fontId="4" fillId="0" borderId="5" xfId="0" applyNumberFormat="1" applyFont="1" applyBorder="1"/>
    <xf numFmtId="165" fontId="0" fillId="0" borderId="1" xfId="0" applyNumberFormat="1" applyBorder="1"/>
    <xf numFmtId="165" fontId="0" fillId="0" borderId="8" xfId="0" applyNumberFormat="1" applyBorder="1"/>
    <xf numFmtId="165" fontId="0" fillId="0" borderId="0" xfId="0" applyNumberFormat="1"/>
    <xf numFmtId="3" fontId="0" fillId="0" borderId="0" xfId="0" applyNumberFormat="1"/>
    <xf numFmtId="0" fontId="0" fillId="0" borderId="0" xfId="0" applyBorder="1"/>
    <xf numFmtId="0" fontId="5" fillId="2" borderId="1" xfId="0" applyFont="1" applyFill="1" applyBorder="1"/>
    <xf numFmtId="0" fontId="6" fillId="0" borderId="0" xfId="0" applyFont="1"/>
    <xf numFmtId="0" fontId="6" fillId="0" borderId="1" xfId="0" applyFont="1" applyBorder="1"/>
    <xf numFmtId="0" fontId="3" fillId="3" borderId="0" xfId="0" applyFont="1" applyFill="1" applyBorder="1"/>
    <xf numFmtId="44" fontId="0" fillId="3" borderId="0" xfId="1" applyFont="1" applyFill="1" applyBorder="1"/>
    <xf numFmtId="0" fontId="0" fillId="3" borderId="0" xfId="0" applyFill="1" applyBorder="1"/>
    <xf numFmtId="0" fontId="0" fillId="0" borderId="0" xfId="0" applyNumberFormat="1"/>
    <xf numFmtId="167" fontId="0" fillId="0" borderId="0" xfId="0" applyNumberFormat="1"/>
  </cellXfs>
  <cellStyles count="2">
    <cellStyle name="Currency" xfId="1" builtinId="4"/>
    <cellStyle name="Normal" xfId="0" builtinId="0"/>
  </cellStyles>
  <dxfs count="13">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65" formatCode="dd/mmm/yyyy"/>
      <border diagonalUp="0" diagonalDown="0">
        <left style="thin">
          <color indexed="64"/>
        </left>
        <right style="thin">
          <color indexed="64"/>
        </right>
        <top style="thin">
          <color indexed="64"/>
        </top>
        <bottom style="thin">
          <color indexed="64"/>
        </bottom>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auto="1"/>
        <name val="Calibri"/>
        <scheme val="none"/>
      </font>
      <border diagonalUp="0" diagonalDown="0" outline="0">
        <left style="thin">
          <color indexed="64"/>
        </left>
        <right style="thin">
          <color indexed="64"/>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[Inventory_Management_100_Rows.xlsx]pivots!pvstock</c:name>
    <c:fmtId val="9"/>
  </c:pivotSource>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r>
              <a:rPr lang="en-IN" sz="1200" b="1"/>
              <a:t>  Which Products have the hightest stock value?</a:t>
            </a:r>
            <a:r>
              <a:rPr lang="en-IN" sz="1200" b="1" baseline="0"/>
              <a:t>  </a:t>
            </a:r>
            <a:endParaRPr lang="en-IN" sz="1200" b="1"/>
          </a:p>
        </c:rich>
      </c:tx>
      <c:layout>
        <c:manualLayout>
          <c:xMode val="edge"/>
          <c:yMode val="edge"/>
          <c:x val="7.5908007728722494E-5"/>
          <c:y val="2.5870208282336996E-2"/>
        </c:manualLayout>
      </c:layout>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
        <c:spPr>
          <a:solidFill>
            <a:schemeClr val="accent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pivots!$B$8</c:f>
              <c:strCache>
                <c:ptCount val="1"/>
                <c:pt idx="0">
                  <c:v>Total</c:v>
                </c:pt>
              </c:strCache>
            </c:strRef>
          </c:tx>
          <c:spPr>
            <a:solidFill>
              <a:schemeClr val="accent2"/>
            </a:solidFill>
            <a:ln>
              <a:noFill/>
            </a:ln>
            <a:effectLst/>
          </c:spPr>
          <c:invertIfNegative val="0"/>
          <c:cat>
            <c:strRef>
              <c:f>pivots!$A$9:$A$19</c:f>
              <c:strCache>
                <c:ptCount val="10"/>
                <c:pt idx="0">
                  <c:v>Desk</c:v>
                </c:pt>
                <c:pt idx="1">
                  <c:v>Mouse</c:v>
                </c:pt>
                <c:pt idx="2">
                  <c:v>Router</c:v>
                </c:pt>
                <c:pt idx="3">
                  <c:v>Printer</c:v>
                </c:pt>
                <c:pt idx="4">
                  <c:v>Notebook</c:v>
                </c:pt>
                <c:pt idx="5">
                  <c:v>Pen</c:v>
                </c:pt>
                <c:pt idx="6">
                  <c:v>Chair</c:v>
                </c:pt>
                <c:pt idx="7">
                  <c:v>Monitor</c:v>
                </c:pt>
                <c:pt idx="8">
                  <c:v>Laptop</c:v>
                </c:pt>
                <c:pt idx="9">
                  <c:v>Keyboard</c:v>
                </c:pt>
              </c:strCache>
            </c:strRef>
          </c:cat>
          <c:val>
            <c:numRef>
              <c:f>pivots!$B$9:$B$19</c:f>
              <c:numCache>
                <c:formatCode>General</c:formatCode>
                <c:ptCount val="10"/>
                <c:pt idx="0">
                  <c:v>71923132</c:v>
                </c:pt>
                <c:pt idx="1">
                  <c:v>42162783</c:v>
                </c:pt>
                <c:pt idx="2">
                  <c:v>35674704</c:v>
                </c:pt>
                <c:pt idx="3">
                  <c:v>30983489</c:v>
                </c:pt>
                <c:pt idx="4">
                  <c:v>28023518</c:v>
                </c:pt>
                <c:pt idx="5">
                  <c:v>20838111</c:v>
                </c:pt>
                <c:pt idx="6">
                  <c:v>20707876</c:v>
                </c:pt>
                <c:pt idx="7">
                  <c:v>19417934</c:v>
                </c:pt>
                <c:pt idx="8">
                  <c:v>19005631</c:v>
                </c:pt>
                <c:pt idx="9">
                  <c:v>16894825</c:v>
                </c:pt>
              </c:numCache>
            </c:numRef>
          </c:val>
          <c:extLst>
            <c:ext xmlns:c16="http://schemas.microsoft.com/office/drawing/2014/chart" uri="{C3380CC4-5D6E-409C-BE32-E72D297353CC}">
              <c16:uniqueId val="{00000000-0FB1-45D8-9A09-8E8C5AAB4ADA}"/>
            </c:ext>
          </c:extLst>
        </c:ser>
        <c:dLbls>
          <c:showLegendKey val="0"/>
          <c:showVal val="0"/>
          <c:showCatName val="0"/>
          <c:showSerName val="0"/>
          <c:showPercent val="0"/>
          <c:showBubbleSize val="0"/>
        </c:dLbls>
        <c:gapWidth val="10"/>
        <c:overlap val="-27"/>
        <c:axId val="1766065440"/>
        <c:axId val="1744886848"/>
      </c:barChart>
      <c:catAx>
        <c:axId val="176606544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4886848"/>
        <c:crosses val="autoZero"/>
        <c:auto val="1"/>
        <c:lblAlgn val="ctr"/>
        <c:lblOffset val="100"/>
        <c:noMultiLvlLbl val="0"/>
      </c:catAx>
      <c:valAx>
        <c:axId val="17448868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60654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[Inventory_Management_100_Rows.xlsx]pivots!pvCatavalue</c:name>
    <c:fmtId val="47"/>
  </c:pivotSource>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Aptos Display" panose="020B0004020202020204" pitchFamily="34" charset="0"/>
                <a:ea typeface="+mn-ea"/>
                <a:cs typeface="+mn-cs"/>
              </a:defRPr>
            </a:pPr>
            <a:r>
              <a:rPr lang="en-IN" sz="1200" b="1">
                <a:latin typeface="Aptos Display" panose="020B0004020202020204" pitchFamily="34" charset="0"/>
              </a:rPr>
              <a:t>  Which category has the highest-value</a:t>
            </a:r>
          </a:p>
          <a:p>
            <a:pPr>
              <a:defRPr sz="1200" b="1">
                <a:latin typeface="Aptos Display" panose="020B0004020202020204" pitchFamily="34" charset="0"/>
              </a:defRPr>
            </a:pPr>
            <a:r>
              <a:rPr lang="en-IN" sz="1200" b="1" baseline="0">
                <a:latin typeface="Aptos Display" panose="020B0004020202020204" pitchFamily="34" charset="0"/>
              </a:rPr>
              <a:t> </a:t>
            </a:r>
            <a:r>
              <a:rPr lang="en-IN" sz="1200" b="1">
                <a:latin typeface="Aptos Display" panose="020B0004020202020204" pitchFamily="34" charset="0"/>
              </a:rPr>
              <a:t>inventory?     </a:t>
            </a:r>
          </a:p>
        </c:rich>
      </c:tx>
      <c:layout>
        <c:manualLayout>
          <c:xMode val="edge"/>
          <c:yMode val="edge"/>
          <c:x val="0.18971628300295004"/>
          <c:y val="2.1727132535166303E-2"/>
        </c:manualLayout>
      </c:layout>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Aptos Display" panose="020B0004020202020204" pitchFamily="34" charset="0"/>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w="28575" cap="rnd">
            <a:solidFill>
              <a:srgbClr val="00B050"/>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w="28575" cap="rnd">
            <a:solidFill>
              <a:srgbClr val="00B050"/>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rgbClr val="00B050"/>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pivots!$B$22</c:f>
              <c:strCache>
                <c:ptCount val="1"/>
                <c:pt idx="0">
                  <c:v>Sum of Stock Value</c:v>
                </c:pt>
              </c:strCache>
            </c:strRef>
          </c:tx>
          <c:spPr>
            <a:solidFill>
              <a:schemeClr val="accent2"/>
            </a:solidFill>
            <a:ln>
              <a:noFill/>
            </a:ln>
            <a:effectLst/>
          </c:spPr>
          <c:invertIfNegative val="0"/>
          <c:cat>
            <c:strRef>
              <c:f>pivots!$A$23:$A$28</c:f>
              <c:strCache>
                <c:ptCount val="5"/>
                <c:pt idx="0">
                  <c:v>Electronics</c:v>
                </c:pt>
                <c:pt idx="1">
                  <c:v>Furniture</c:v>
                </c:pt>
                <c:pt idx="2">
                  <c:v>Stationery</c:v>
                </c:pt>
                <c:pt idx="3">
                  <c:v>Networking</c:v>
                </c:pt>
                <c:pt idx="4">
                  <c:v>Office</c:v>
                </c:pt>
              </c:strCache>
            </c:strRef>
          </c:cat>
          <c:val>
            <c:numRef>
              <c:f>pivots!$B$23:$B$28</c:f>
              <c:numCache>
                <c:formatCode>General</c:formatCode>
                <c:ptCount val="5"/>
                <c:pt idx="0">
                  <c:v>97481173</c:v>
                </c:pt>
                <c:pt idx="1">
                  <c:v>92631008</c:v>
                </c:pt>
                <c:pt idx="2">
                  <c:v>48861629</c:v>
                </c:pt>
                <c:pt idx="3">
                  <c:v>35674704</c:v>
                </c:pt>
                <c:pt idx="4">
                  <c:v>30983489</c:v>
                </c:pt>
              </c:numCache>
            </c:numRef>
          </c:val>
          <c:extLst>
            <c:ext xmlns:c16="http://schemas.microsoft.com/office/drawing/2014/chart" uri="{C3380CC4-5D6E-409C-BE32-E72D297353CC}">
              <c16:uniqueId val="{00000000-91B7-4F4A-A006-2512310E1023}"/>
            </c:ext>
          </c:extLst>
        </c:ser>
        <c:dLbls>
          <c:showLegendKey val="0"/>
          <c:showVal val="0"/>
          <c:showCatName val="0"/>
          <c:showSerName val="0"/>
          <c:showPercent val="0"/>
          <c:showBubbleSize val="0"/>
        </c:dLbls>
        <c:gapWidth val="10"/>
        <c:axId val="1949677520"/>
        <c:axId val="1744896448"/>
      </c:barChart>
      <c:lineChart>
        <c:grouping val="standard"/>
        <c:varyColors val="0"/>
        <c:ser>
          <c:idx val="1"/>
          <c:order val="1"/>
          <c:tx>
            <c:strRef>
              <c:f>pivots!$C$22</c:f>
              <c:strCache>
                <c:ptCount val="1"/>
                <c:pt idx="0">
                  <c:v>Sum of Unit Price</c:v>
                </c:pt>
              </c:strCache>
            </c:strRef>
          </c:tx>
          <c:spPr>
            <a:ln w="28575" cap="rnd">
              <a:solidFill>
                <a:srgbClr val="00B050"/>
              </a:solidFill>
              <a:round/>
            </a:ln>
            <a:effectLst/>
          </c:spPr>
          <c:marker>
            <c:symbol val="circle"/>
            <c:size val="5"/>
            <c:spPr>
              <a:solidFill>
                <a:schemeClr val="accent5"/>
              </a:solidFill>
              <a:ln w="9525">
                <a:solidFill>
                  <a:schemeClr val="accent5"/>
                </a:solidFill>
              </a:ln>
              <a:effectLst/>
            </c:spPr>
          </c:marker>
          <c:cat>
            <c:strRef>
              <c:f>pivots!$A$23:$A$28</c:f>
              <c:strCache>
                <c:ptCount val="5"/>
                <c:pt idx="0">
                  <c:v>Electronics</c:v>
                </c:pt>
                <c:pt idx="1">
                  <c:v>Furniture</c:v>
                </c:pt>
                <c:pt idx="2">
                  <c:v>Stationery</c:v>
                </c:pt>
                <c:pt idx="3">
                  <c:v>Networking</c:v>
                </c:pt>
                <c:pt idx="4">
                  <c:v>Office</c:v>
                </c:pt>
              </c:strCache>
            </c:strRef>
          </c:cat>
          <c:val>
            <c:numRef>
              <c:f>pivots!$C$23:$C$28</c:f>
              <c:numCache>
                <c:formatCode>General</c:formatCode>
                <c:ptCount val="5"/>
                <c:pt idx="0">
                  <c:v>984798</c:v>
                </c:pt>
                <c:pt idx="1">
                  <c:v>780997</c:v>
                </c:pt>
                <c:pt idx="2">
                  <c:v>591605</c:v>
                </c:pt>
                <c:pt idx="3">
                  <c:v>326104</c:v>
                </c:pt>
                <c:pt idx="4">
                  <c:v>272788</c:v>
                </c:pt>
              </c:numCache>
            </c:numRef>
          </c:val>
          <c:smooth val="0"/>
          <c:extLst>
            <c:ext xmlns:c16="http://schemas.microsoft.com/office/drawing/2014/chart" uri="{C3380CC4-5D6E-409C-BE32-E72D297353CC}">
              <c16:uniqueId val="{00000001-91B7-4F4A-A006-2512310E1023}"/>
            </c:ext>
          </c:extLst>
        </c:ser>
        <c:dLbls>
          <c:showLegendKey val="0"/>
          <c:showVal val="0"/>
          <c:showCatName val="0"/>
          <c:showSerName val="0"/>
          <c:showPercent val="0"/>
          <c:showBubbleSize val="0"/>
        </c:dLbls>
        <c:marker val="1"/>
        <c:smooth val="0"/>
        <c:axId val="1766052912"/>
        <c:axId val="1744893088"/>
      </c:lineChart>
      <c:catAx>
        <c:axId val="19496775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4896448"/>
        <c:crosses val="autoZero"/>
        <c:auto val="1"/>
        <c:lblAlgn val="ctr"/>
        <c:lblOffset val="100"/>
        <c:noMultiLvlLbl val="0"/>
      </c:catAx>
      <c:valAx>
        <c:axId val="17448964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9677520"/>
        <c:crosses val="autoZero"/>
        <c:crossBetween val="between"/>
      </c:valAx>
      <c:valAx>
        <c:axId val="1744893088"/>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6052912"/>
        <c:crosses val="max"/>
        <c:crossBetween val="between"/>
      </c:valAx>
      <c:catAx>
        <c:axId val="1766052912"/>
        <c:scaling>
          <c:orientation val="minMax"/>
        </c:scaling>
        <c:delete val="1"/>
        <c:axPos val="b"/>
        <c:numFmt formatCode="General" sourceLinked="1"/>
        <c:majorTickMark val="out"/>
        <c:minorTickMark val="none"/>
        <c:tickLblPos val="nextTo"/>
        <c:crossAx val="1744893088"/>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[Inventory_Management_100_Rows.xlsx]pivots!pvcategory</c:name>
    <c:fmtId val="64"/>
  </c:pivotSource>
  <c:chart>
    <c:title>
      <c:tx>
        <c:rich>
          <a:bodyPr rot="0" spcFirstLastPara="1" vertOverflow="ellipsis" vert="horz" wrap="square" anchor="ctr" anchorCtr="1"/>
          <a:lstStyle/>
          <a:p>
            <a:pPr>
              <a:defRPr sz="1400" b="1" i="0" u="none" strike="noStrike" kern="1200" spc="0" baseline="0">
                <a:solidFill>
                  <a:schemeClr val="tx1">
                    <a:lumMod val="50000"/>
                    <a:lumOff val="50000"/>
                  </a:schemeClr>
                </a:solidFill>
                <a:latin typeface="Aptos Display" panose="020B0004020202020204" pitchFamily="34" charset="0"/>
                <a:ea typeface="+mn-ea"/>
                <a:cs typeface="+mn-cs"/>
              </a:defRPr>
            </a:pPr>
            <a:r>
              <a:rPr lang="en-US" b="1">
                <a:solidFill>
                  <a:schemeClr val="tx1">
                    <a:lumMod val="50000"/>
                    <a:lumOff val="50000"/>
                  </a:schemeClr>
                </a:solidFill>
                <a:latin typeface="Aptos Display" panose="020B0004020202020204" pitchFamily="34" charset="0"/>
              </a:rPr>
              <a:t> Which supplier provides high</a:t>
            </a:r>
            <a:r>
              <a:rPr lang="en-US" b="1" baseline="0">
                <a:solidFill>
                  <a:schemeClr val="tx1">
                    <a:lumMod val="50000"/>
                    <a:lumOff val="50000"/>
                  </a:schemeClr>
                </a:solidFill>
                <a:latin typeface="Aptos Display" panose="020B0004020202020204" pitchFamily="34" charset="0"/>
              </a:rPr>
              <a:t> Products</a:t>
            </a:r>
            <a:endParaRPr lang="en-US" b="1">
              <a:solidFill>
                <a:schemeClr val="tx1">
                  <a:lumMod val="50000"/>
                  <a:lumOff val="50000"/>
                </a:schemeClr>
              </a:solidFill>
              <a:latin typeface="Aptos Display" panose="020B0004020202020204" pitchFamily="34" charset="0"/>
            </a:endParaRPr>
          </a:p>
        </c:rich>
      </c:tx>
      <c:overlay val="0"/>
      <c:spPr>
        <a:solidFill>
          <a:schemeClr val="bg1"/>
        </a:solidFill>
        <a:ln>
          <a:noFill/>
        </a:ln>
        <a:effectLst/>
      </c:spPr>
      <c:txPr>
        <a:bodyPr rot="0" spcFirstLastPara="1" vertOverflow="ellipsis" vert="horz" wrap="square" anchor="ctr" anchorCtr="1"/>
        <a:lstStyle/>
        <a:p>
          <a:pPr>
            <a:defRPr sz="1400" b="1" i="0" u="none" strike="noStrike" kern="1200" spc="0" baseline="0">
              <a:solidFill>
                <a:schemeClr val="tx1">
                  <a:lumMod val="50000"/>
                  <a:lumOff val="50000"/>
                </a:schemeClr>
              </a:solidFill>
              <a:latin typeface="Aptos Display" panose="020B0004020202020204" pitchFamily="34" charset="0"/>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0.13842746400885936"/>
              <c:y val="-0.11540168664003551"/>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5"/>
          </a:solidFill>
          <a:ln w="19050">
            <a:solidFill>
              <a:schemeClr val="lt1"/>
            </a:solidFill>
          </a:ln>
          <a:effectLst/>
        </c:spPr>
        <c:dLbl>
          <c:idx val="0"/>
          <c:layout>
            <c:manualLayout>
              <c:x val="-0.15503875968992253"/>
              <c:y val="-8.433200177541055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4"/>
          </a:solidFill>
          <a:ln w="19050">
            <a:solidFill>
              <a:schemeClr val="lt1"/>
            </a:solidFill>
          </a:ln>
          <a:effectLst/>
        </c:spPr>
        <c:dLbl>
          <c:idx val="0"/>
          <c:layout>
            <c:manualLayout>
              <c:x val="-0.15227021040974528"/>
              <c:y val="-5.326231691078561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3"/>
          </a:solidFill>
          <a:ln w="19050">
            <a:solidFill>
              <a:schemeClr val="lt1"/>
            </a:solidFill>
          </a:ln>
          <a:effectLst/>
        </c:spPr>
        <c:dLbl>
          <c:idx val="0"/>
          <c:layout>
            <c:manualLayout>
              <c:x val="-0.1744186046511628"/>
              <c:y val="-2.663115845539280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2"/>
          </a:solidFill>
          <a:ln w="19050">
            <a:solidFill>
              <a:schemeClr val="lt1"/>
            </a:solidFill>
          </a:ln>
          <a:effectLst/>
        </c:spPr>
        <c:dLbl>
          <c:idx val="0"/>
          <c:layout>
            <c:manualLayout>
              <c:x val="0.16334440753045404"/>
              <c:y val="2.663115845539264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dLbl>
          <c:idx val="0"/>
          <c:layout>
            <c:manualLayout>
              <c:x val="0.13842746400885936"/>
              <c:y val="-0.11540168664003551"/>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solidFill>
              <a:schemeClr val="lt1"/>
            </a:solidFill>
          </a:ln>
          <a:effectLst/>
        </c:spPr>
        <c:dLbl>
          <c:idx val="0"/>
          <c:layout>
            <c:manualLayout>
              <c:x val="0.16334440753045404"/>
              <c:y val="2.663115845539264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w="19050">
            <a:solidFill>
              <a:schemeClr val="lt1"/>
            </a:solidFill>
          </a:ln>
          <a:effectLst/>
        </c:spPr>
        <c:dLbl>
          <c:idx val="0"/>
          <c:layout>
            <c:manualLayout>
              <c:x val="-0.1744186046511628"/>
              <c:y val="-2.663115845539280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solidFill>
          <a:ln w="19050">
            <a:solidFill>
              <a:schemeClr val="lt1"/>
            </a:solidFill>
          </a:ln>
          <a:effectLst/>
        </c:spPr>
        <c:dLbl>
          <c:idx val="0"/>
          <c:layout>
            <c:manualLayout>
              <c:x val="-0.15227021040974528"/>
              <c:y val="-5.326231691078561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w="19050">
            <a:solidFill>
              <a:schemeClr val="lt1"/>
            </a:solidFill>
          </a:ln>
          <a:effectLst/>
        </c:spPr>
        <c:dLbl>
          <c:idx val="0"/>
          <c:layout>
            <c:manualLayout>
              <c:x val="-0.15503875968992253"/>
              <c:y val="-8.433200177541055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1"/>
          </a:solidFill>
          <a:ln w="19050">
            <a:solidFill>
              <a:schemeClr val="lt1"/>
            </a:solidFill>
          </a:ln>
          <a:effectLst/>
        </c:spPr>
        <c:dLbl>
          <c:idx val="0"/>
          <c:layout>
            <c:manualLayout>
              <c:x val="0.13842746400885936"/>
              <c:y val="-0.11540168664003551"/>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chemeClr val="accent1"/>
          </a:solidFill>
          <a:ln w="19050">
            <a:solidFill>
              <a:schemeClr val="lt1"/>
            </a:solidFill>
          </a:ln>
          <a:effectLst/>
        </c:spPr>
        <c:dLbl>
          <c:idx val="0"/>
          <c:layout>
            <c:manualLayout>
              <c:x val="0.16334440753045404"/>
              <c:y val="2.663115845539264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solidFill>
            <a:schemeClr val="accent1"/>
          </a:solidFill>
          <a:ln w="19050">
            <a:solidFill>
              <a:schemeClr val="lt1"/>
            </a:solidFill>
          </a:ln>
          <a:effectLst/>
        </c:spPr>
        <c:dLbl>
          <c:idx val="0"/>
          <c:layout>
            <c:manualLayout>
              <c:x val="-0.1744186046511628"/>
              <c:y val="-2.663115845539280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solidFill>
            <a:schemeClr val="accent1"/>
          </a:solidFill>
          <a:ln w="19050">
            <a:solidFill>
              <a:schemeClr val="lt1"/>
            </a:solidFill>
          </a:ln>
          <a:effectLst/>
        </c:spPr>
        <c:dLbl>
          <c:idx val="0"/>
          <c:layout>
            <c:manualLayout>
              <c:x val="-0.15227021040974528"/>
              <c:y val="-5.326231691078561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solidFill>
            <a:schemeClr val="accent1"/>
          </a:solidFill>
          <a:ln w="19050">
            <a:solidFill>
              <a:schemeClr val="lt1"/>
            </a:solidFill>
          </a:ln>
          <a:effectLst/>
        </c:spPr>
        <c:dLbl>
          <c:idx val="0"/>
          <c:layout>
            <c:manualLayout>
              <c:x val="-0.15503875968992253"/>
              <c:y val="-8.433200177541055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pivots!$B$31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156-4C00-8E2C-7440E8BD643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156-4C00-8E2C-7440E8BD643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156-4C00-8E2C-7440E8BD643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A156-4C00-8E2C-7440E8BD6439}"/>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A156-4C00-8E2C-7440E8BD6439}"/>
              </c:ext>
            </c:extLst>
          </c:dPt>
          <c:dLbls>
            <c:dLbl>
              <c:idx val="0"/>
              <c:layout>
                <c:manualLayout>
                  <c:x val="0.13842746400885936"/>
                  <c:y val="-0.11540168664003551"/>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A156-4C00-8E2C-7440E8BD6439}"/>
                </c:ext>
              </c:extLst>
            </c:dLbl>
            <c:dLbl>
              <c:idx val="1"/>
              <c:layout>
                <c:manualLayout>
                  <c:x val="0.16334440753045404"/>
                  <c:y val="2.6631158455392646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A156-4C00-8E2C-7440E8BD6439}"/>
                </c:ext>
              </c:extLst>
            </c:dLbl>
            <c:dLbl>
              <c:idx val="2"/>
              <c:layout>
                <c:manualLayout>
                  <c:x val="-0.1744186046511628"/>
                  <c:y val="-2.6631158455392809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A156-4C00-8E2C-7440E8BD6439}"/>
                </c:ext>
              </c:extLst>
            </c:dLbl>
            <c:dLbl>
              <c:idx val="3"/>
              <c:layout>
                <c:manualLayout>
                  <c:x val="-0.15227021040974528"/>
                  <c:y val="-5.3262316910785618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A156-4C00-8E2C-7440E8BD6439}"/>
                </c:ext>
              </c:extLst>
            </c:dLbl>
            <c:dLbl>
              <c:idx val="4"/>
              <c:layout>
                <c:manualLayout>
                  <c:x val="-0.15503875968992253"/>
                  <c:y val="-8.4332001775410559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9-A156-4C00-8E2C-7440E8BD6439}"/>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pivots!$A$32:$A$37</c:f>
              <c:strCache>
                <c:ptCount val="5"/>
                <c:pt idx="0">
                  <c:v>Prime Traders</c:v>
                </c:pt>
                <c:pt idx="1">
                  <c:v>FurniCo</c:v>
                </c:pt>
                <c:pt idx="2">
                  <c:v>TechCorp</c:v>
                </c:pt>
                <c:pt idx="3">
                  <c:v>OfficeMart</c:v>
                </c:pt>
                <c:pt idx="4">
                  <c:v>Global Supplies</c:v>
                </c:pt>
              </c:strCache>
            </c:strRef>
          </c:cat>
          <c:val>
            <c:numRef>
              <c:f>pivots!$B$32:$B$37</c:f>
              <c:numCache>
                <c:formatCode>General</c:formatCode>
                <c:ptCount val="5"/>
                <c:pt idx="0">
                  <c:v>87342034</c:v>
                </c:pt>
                <c:pt idx="1">
                  <c:v>67025586</c:v>
                </c:pt>
                <c:pt idx="2">
                  <c:v>59248006</c:v>
                </c:pt>
                <c:pt idx="3">
                  <c:v>49660261</c:v>
                </c:pt>
                <c:pt idx="4">
                  <c:v>42356116</c:v>
                </c:pt>
              </c:numCache>
            </c:numRef>
          </c:val>
          <c:extLst>
            <c:ext xmlns:c16="http://schemas.microsoft.com/office/drawing/2014/chart" uri="{C3380CC4-5D6E-409C-BE32-E72D297353CC}">
              <c16:uniqueId val="{0000000A-A156-4C00-8E2C-7440E8BD6439}"/>
            </c:ext>
          </c:extLst>
        </c:ser>
        <c:dLbls>
          <c:showLegendKey val="0"/>
          <c:showVal val="1"/>
          <c:showCatName val="0"/>
          <c:showSerName val="0"/>
          <c:showPercent val="0"/>
          <c:showBubbleSize val="0"/>
          <c:showLeaderLines val="0"/>
        </c:dLbls>
        <c:firstSliceAng val="0"/>
        <c:holeSize val="6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[Inventory_Management_100_Rows.xlsx]pivots!pvmonth</c:name>
    <c:fmtId val="71"/>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Aptos Display" panose="020B0004020202020204" pitchFamily="34" charset="0"/>
                <a:ea typeface="+mn-ea"/>
                <a:cs typeface="+mn-cs"/>
              </a:defRPr>
            </a:pPr>
            <a:r>
              <a:rPr lang="en-IN" b="1">
                <a:latin typeface="Aptos Display" panose="020B0004020202020204" pitchFamily="34" charset="0"/>
              </a:rPr>
              <a:t>Orders</a:t>
            </a:r>
            <a:r>
              <a:rPr lang="en-IN" b="1" baseline="0">
                <a:latin typeface="Aptos Display" panose="020B0004020202020204" pitchFamily="34" charset="0"/>
              </a:rPr>
              <a:t> by Months</a:t>
            </a:r>
            <a:endParaRPr lang="en-IN" b="1">
              <a:latin typeface="Aptos Display" panose="020B0004020202020204" pitchFamily="34" charset="0"/>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Aptos Display" panose="020B0004020202020204" pitchFamily="34" charset="0"/>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ln w="28575" cap="rnd">
            <a:solidFill>
              <a:schemeClr val="accent2"/>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pivots!$B$40</c:f>
              <c:strCache>
                <c:ptCount val="1"/>
                <c:pt idx="0">
                  <c:v>Sum of Stock</c:v>
                </c:pt>
              </c:strCache>
            </c:strRef>
          </c:tx>
          <c:spPr>
            <a:solidFill>
              <a:schemeClr val="accent2"/>
            </a:solidFill>
            <a:ln>
              <a:noFill/>
            </a:ln>
            <a:effectLst/>
          </c:spPr>
          <c:invertIfNegative val="0"/>
          <c:cat>
            <c:strRef>
              <c:f>pivots!$A$41:$A$48</c:f>
              <c:strCache>
                <c:ptCount val="7"/>
                <c:pt idx="0">
                  <c:v>Feb</c:v>
                </c:pt>
                <c:pt idx="1">
                  <c:v>Mar</c:v>
                </c:pt>
                <c:pt idx="2">
                  <c:v>Apr</c:v>
                </c:pt>
                <c:pt idx="3">
                  <c:v>Jan</c:v>
                </c:pt>
                <c:pt idx="4">
                  <c:v>Jul</c:v>
                </c:pt>
                <c:pt idx="5">
                  <c:v>Jun</c:v>
                </c:pt>
                <c:pt idx="6">
                  <c:v>May</c:v>
                </c:pt>
              </c:strCache>
            </c:strRef>
          </c:cat>
          <c:val>
            <c:numRef>
              <c:f>pivots!$B$41:$B$48</c:f>
              <c:numCache>
                <c:formatCode>General</c:formatCode>
                <c:ptCount val="7"/>
                <c:pt idx="0">
                  <c:v>903</c:v>
                </c:pt>
                <c:pt idx="1">
                  <c:v>1132</c:v>
                </c:pt>
                <c:pt idx="2">
                  <c:v>1152</c:v>
                </c:pt>
                <c:pt idx="3">
                  <c:v>1532</c:v>
                </c:pt>
                <c:pt idx="4">
                  <c:v>1696</c:v>
                </c:pt>
                <c:pt idx="5">
                  <c:v>1772</c:v>
                </c:pt>
                <c:pt idx="6">
                  <c:v>1954</c:v>
                </c:pt>
              </c:numCache>
            </c:numRef>
          </c:val>
          <c:extLst>
            <c:ext xmlns:c16="http://schemas.microsoft.com/office/drawing/2014/chart" uri="{C3380CC4-5D6E-409C-BE32-E72D297353CC}">
              <c16:uniqueId val="{00000000-5DDB-4F72-BF07-17D2BC52F627}"/>
            </c:ext>
          </c:extLst>
        </c:ser>
        <c:dLbls>
          <c:showLegendKey val="0"/>
          <c:showVal val="0"/>
          <c:showCatName val="0"/>
          <c:showSerName val="0"/>
          <c:showPercent val="0"/>
          <c:showBubbleSize val="0"/>
        </c:dLbls>
        <c:gapWidth val="10"/>
        <c:axId val="1997449312"/>
        <c:axId val="1996936032"/>
      </c:barChart>
      <c:lineChart>
        <c:grouping val="standard"/>
        <c:varyColors val="0"/>
        <c:ser>
          <c:idx val="1"/>
          <c:order val="1"/>
          <c:tx>
            <c:strRef>
              <c:f>pivots!$C$40</c:f>
              <c:strCache>
                <c:ptCount val="1"/>
                <c:pt idx="0">
                  <c:v>Count of Category</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pivots!$A$41:$A$48</c:f>
              <c:strCache>
                <c:ptCount val="7"/>
                <c:pt idx="0">
                  <c:v>Feb</c:v>
                </c:pt>
                <c:pt idx="1">
                  <c:v>Mar</c:v>
                </c:pt>
                <c:pt idx="2">
                  <c:v>Apr</c:v>
                </c:pt>
                <c:pt idx="3">
                  <c:v>Jan</c:v>
                </c:pt>
                <c:pt idx="4">
                  <c:v>Jul</c:v>
                </c:pt>
                <c:pt idx="5">
                  <c:v>Jun</c:v>
                </c:pt>
                <c:pt idx="6">
                  <c:v>May</c:v>
                </c:pt>
              </c:strCache>
            </c:strRef>
          </c:cat>
          <c:val>
            <c:numRef>
              <c:f>pivots!$C$41:$C$48</c:f>
              <c:numCache>
                <c:formatCode>General</c:formatCode>
                <c:ptCount val="7"/>
                <c:pt idx="0">
                  <c:v>10</c:v>
                </c:pt>
                <c:pt idx="1">
                  <c:v>12</c:v>
                </c:pt>
                <c:pt idx="2">
                  <c:v>11</c:v>
                </c:pt>
                <c:pt idx="3">
                  <c:v>13</c:v>
                </c:pt>
                <c:pt idx="4">
                  <c:v>19</c:v>
                </c:pt>
                <c:pt idx="5">
                  <c:v>17</c:v>
                </c:pt>
                <c:pt idx="6">
                  <c:v>18</c:v>
                </c:pt>
              </c:numCache>
            </c:numRef>
          </c:val>
          <c:smooth val="0"/>
          <c:extLst>
            <c:ext xmlns:c16="http://schemas.microsoft.com/office/drawing/2014/chart" uri="{C3380CC4-5D6E-409C-BE32-E72D297353CC}">
              <c16:uniqueId val="{00000008-5DDB-4F72-BF07-17D2BC52F627}"/>
            </c:ext>
          </c:extLst>
        </c:ser>
        <c:dLbls>
          <c:showLegendKey val="0"/>
          <c:showVal val="0"/>
          <c:showCatName val="0"/>
          <c:showSerName val="0"/>
          <c:showPercent val="0"/>
          <c:showBubbleSize val="0"/>
        </c:dLbls>
        <c:marker val="1"/>
        <c:smooth val="0"/>
        <c:axId val="1889155904"/>
        <c:axId val="1996948992"/>
      </c:lineChart>
      <c:catAx>
        <c:axId val="18891559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6948992"/>
        <c:crosses val="autoZero"/>
        <c:auto val="1"/>
        <c:lblAlgn val="ctr"/>
        <c:lblOffset val="100"/>
        <c:noMultiLvlLbl val="0"/>
      </c:catAx>
      <c:valAx>
        <c:axId val="19969489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9155904"/>
        <c:crosses val="autoZero"/>
        <c:crossBetween val="between"/>
      </c:valAx>
      <c:valAx>
        <c:axId val="1996936032"/>
        <c:scaling>
          <c:orientation val="minMax"/>
        </c:scaling>
        <c:delete val="0"/>
        <c:axPos val="t"/>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7449312"/>
        <c:crosses val="max"/>
        <c:crossBetween val="between"/>
      </c:valAx>
      <c:catAx>
        <c:axId val="1997449312"/>
        <c:scaling>
          <c:orientation val="minMax"/>
        </c:scaling>
        <c:delete val="1"/>
        <c:axPos val="l"/>
        <c:numFmt formatCode="General" sourceLinked="1"/>
        <c:majorTickMark val="out"/>
        <c:minorTickMark val="none"/>
        <c:tickLblPos val="nextTo"/>
        <c:crossAx val="1996936032"/>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[Inventory_Management_100_Rows.xlsx]pivots!pvorder</c:name>
    <c:fmtId val="91"/>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Aptos Display" panose="020B0004020202020204" pitchFamily="34" charset="0"/>
                <a:ea typeface="+mn-ea"/>
                <a:cs typeface="+mn-cs"/>
              </a:defRPr>
            </a:pPr>
            <a:r>
              <a:rPr lang="en-IN" b="1">
                <a:latin typeface="Aptos Display" panose="020B0004020202020204" pitchFamily="34" charset="0"/>
              </a:rPr>
              <a:t>Orders</a:t>
            </a:r>
            <a:r>
              <a:rPr lang="en-IN" b="1" baseline="0">
                <a:latin typeface="Aptos Display" panose="020B0004020202020204" pitchFamily="34" charset="0"/>
              </a:rPr>
              <a:t> by Product Id</a:t>
            </a:r>
            <a:endParaRPr lang="en-IN" b="1">
              <a:latin typeface="Aptos Display" panose="020B0004020202020204" pitchFamily="34" charset="0"/>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Aptos Display" panose="020B0004020202020204" pitchFamily="34" charset="0"/>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pivots!$B$51</c:f>
              <c:strCache>
                <c:ptCount val="1"/>
                <c:pt idx="0">
                  <c:v>Count of Product ID</c:v>
                </c:pt>
              </c:strCache>
            </c:strRef>
          </c:tx>
          <c:spPr>
            <a:solidFill>
              <a:schemeClr val="accent1"/>
            </a:solidFill>
            <a:ln>
              <a:noFill/>
            </a:ln>
            <a:effectLst/>
          </c:spPr>
          <c:invertIfNegative val="0"/>
          <c:cat>
            <c:strRef>
              <c:f>pivots!$A$52:$A$62</c:f>
              <c:strCache>
                <c:ptCount val="10"/>
                <c:pt idx="0">
                  <c:v>Desk</c:v>
                </c:pt>
                <c:pt idx="1">
                  <c:v>Mouse</c:v>
                </c:pt>
                <c:pt idx="2">
                  <c:v>Notebook</c:v>
                </c:pt>
                <c:pt idx="3">
                  <c:v>Laptop</c:v>
                </c:pt>
                <c:pt idx="4">
                  <c:v>Printer</c:v>
                </c:pt>
                <c:pt idx="5">
                  <c:v>Router</c:v>
                </c:pt>
                <c:pt idx="6">
                  <c:v>Pen</c:v>
                </c:pt>
                <c:pt idx="7">
                  <c:v>Keyboard</c:v>
                </c:pt>
                <c:pt idx="8">
                  <c:v>Chair</c:v>
                </c:pt>
                <c:pt idx="9">
                  <c:v>Monitor</c:v>
                </c:pt>
              </c:strCache>
            </c:strRef>
          </c:cat>
          <c:val>
            <c:numRef>
              <c:f>pivots!$B$52:$B$62</c:f>
              <c:numCache>
                <c:formatCode>General</c:formatCode>
                <c:ptCount val="10"/>
                <c:pt idx="0">
                  <c:v>15</c:v>
                </c:pt>
                <c:pt idx="1">
                  <c:v>14</c:v>
                </c:pt>
                <c:pt idx="2">
                  <c:v>12</c:v>
                </c:pt>
                <c:pt idx="3">
                  <c:v>11</c:v>
                </c:pt>
                <c:pt idx="4">
                  <c:v>10</c:v>
                </c:pt>
                <c:pt idx="5">
                  <c:v>9</c:v>
                </c:pt>
                <c:pt idx="6">
                  <c:v>8</c:v>
                </c:pt>
                <c:pt idx="7">
                  <c:v>8</c:v>
                </c:pt>
                <c:pt idx="8">
                  <c:v>7</c:v>
                </c:pt>
                <c:pt idx="9">
                  <c:v>6</c:v>
                </c:pt>
              </c:numCache>
            </c:numRef>
          </c:val>
          <c:extLst>
            <c:ext xmlns:c16="http://schemas.microsoft.com/office/drawing/2014/chart" uri="{C3380CC4-5D6E-409C-BE32-E72D297353CC}">
              <c16:uniqueId val="{00000001-42E1-4D29-A461-74AF53E23FFD}"/>
            </c:ext>
          </c:extLst>
        </c:ser>
        <c:dLbls>
          <c:showLegendKey val="0"/>
          <c:showVal val="0"/>
          <c:showCatName val="0"/>
          <c:showSerName val="0"/>
          <c:showPercent val="0"/>
          <c:showBubbleSize val="0"/>
        </c:dLbls>
        <c:gapWidth val="25"/>
        <c:axId val="2008370512"/>
        <c:axId val="1996933632"/>
      </c:barChart>
      <c:lineChart>
        <c:grouping val="standard"/>
        <c:varyColors val="0"/>
        <c:ser>
          <c:idx val="1"/>
          <c:order val="1"/>
          <c:tx>
            <c:strRef>
              <c:f>pivots!$C$51</c:f>
              <c:strCache>
                <c:ptCount val="1"/>
                <c:pt idx="0">
                  <c:v>Sum of Unit Price</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pivots!$A$52:$A$62</c:f>
              <c:strCache>
                <c:ptCount val="10"/>
                <c:pt idx="0">
                  <c:v>Desk</c:v>
                </c:pt>
                <c:pt idx="1">
                  <c:v>Mouse</c:v>
                </c:pt>
                <c:pt idx="2">
                  <c:v>Notebook</c:v>
                </c:pt>
                <c:pt idx="3">
                  <c:v>Laptop</c:v>
                </c:pt>
                <c:pt idx="4">
                  <c:v>Printer</c:v>
                </c:pt>
                <c:pt idx="5">
                  <c:v>Router</c:v>
                </c:pt>
                <c:pt idx="6">
                  <c:v>Pen</c:v>
                </c:pt>
                <c:pt idx="7">
                  <c:v>Keyboard</c:v>
                </c:pt>
                <c:pt idx="8">
                  <c:v>Chair</c:v>
                </c:pt>
                <c:pt idx="9">
                  <c:v>Monitor</c:v>
                </c:pt>
              </c:strCache>
            </c:strRef>
          </c:cat>
          <c:val>
            <c:numRef>
              <c:f>pivots!$C$52:$C$62</c:f>
              <c:numCache>
                <c:formatCode>General</c:formatCode>
                <c:ptCount val="10"/>
                <c:pt idx="0">
                  <c:v>620367</c:v>
                </c:pt>
                <c:pt idx="1">
                  <c:v>337994</c:v>
                </c:pt>
                <c:pt idx="2">
                  <c:v>318665</c:v>
                </c:pt>
                <c:pt idx="3">
                  <c:v>221576</c:v>
                </c:pt>
                <c:pt idx="4">
                  <c:v>272788</c:v>
                </c:pt>
                <c:pt idx="5">
                  <c:v>326104</c:v>
                </c:pt>
                <c:pt idx="6">
                  <c:v>272940</c:v>
                </c:pt>
                <c:pt idx="7">
                  <c:v>198420</c:v>
                </c:pt>
                <c:pt idx="8">
                  <c:v>160630</c:v>
                </c:pt>
                <c:pt idx="9">
                  <c:v>226808</c:v>
                </c:pt>
              </c:numCache>
            </c:numRef>
          </c:val>
          <c:smooth val="0"/>
          <c:extLst>
            <c:ext xmlns:c16="http://schemas.microsoft.com/office/drawing/2014/chart" uri="{C3380CC4-5D6E-409C-BE32-E72D297353CC}">
              <c16:uniqueId val="{00000000-42E1-4D29-A461-74AF53E23FFD}"/>
            </c:ext>
          </c:extLst>
        </c:ser>
        <c:dLbls>
          <c:showLegendKey val="0"/>
          <c:showVal val="0"/>
          <c:showCatName val="0"/>
          <c:showSerName val="0"/>
          <c:showPercent val="0"/>
          <c:showBubbleSize val="0"/>
        </c:dLbls>
        <c:marker val="1"/>
        <c:smooth val="0"/>
        <c:axId val="2008307408"/>
        <c:axId val="1996924992"/>
      </c:lineChart>
      <c:lineChart>
        <c:grouping val="stacked"/>
        <c:varyColors val="0"/>
        <c:ser>
          <c:idx val="2"/>
          <c:order val="2"/>
          <c:tx>
            <c:strRef>
              <c:f>pivots!$D$51</c:f>
              <c:strCache>
                <c:ptCount val="1"/>
                <c:pt idx="0">
                  <c:v>Count of Category</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pivots!$A$52:$A$62</c:f>
              <c:strCache>
                <c:ptCount val="10"/>
                <c:pt idx="0">
                  <c:v>Desk</c:v>
                </c:pt>
                <c:pt idx="1">
                  <c:v>Mouse</c:v>
                </c:pt>
                <c:pt idx="2">
                  <c:v>Notebook</c:v>
                </c:pt>
                <c:pt idx="3">
                  <c:v>Laptop</c:v>
                </c:pt>
                <c:pt idx="4">
                  <c:v>Printer</c:v>
                </c:pt>
                <c:pt idx="5">
                  <c:v>Router</c:v>
                </c:pt>
                <c:pt idx="6">
                  <c:v>Pen</c:v>
                </c:pt>
                <c:pt idx="7">
                  <c:v>Keyboard</c:v>
                </c:pt>
                <c:pt idx="8">
                  <c:v>Chair</c:v>
                </c:pt>
                <c:pt idx="9">
                  <c:v>Monitor</c:v>
                </c:pt>
              </c:strCache>
            </c:strRef>
          </c:cat>
          <c:val>
            <c:numRef>
              <c:f>pivots!$D$52:$D$62</c:f>
              <c:numCache>
                <c:formatCode>General</c:formatCode>
                <c:ptCount val="10"/>
                <c:pt idx="0">
                  <c:v>15</c:v>
                </c:pt>
                <c:pt idx="1">
                  <c:v>14</c:v>
                </c:pt>
                <c:pt idx="2">
                  <c:v>12</c:v>
                </c:pt>
                <c:pt idx="3">
                  <c:v>11</c:v>
                </c:pt>
                <c:pt idx="4">
                  <c:v>10</c:v>
                </c:pt>
                <c:pt idx="5">
                  <c:v>9</c:v>
                </c:pt>
                <c:pt idx="6">
                  <c:v>8</c:v>
                </c:pt>
                <c:pt idx="7">
                  <c:v>8</c:v>
                </c:pt>
                <c:pt idx="8">
                  <c:v>7</c:v>
                </c:pt>
                <c:pt idx="9">
                  <c:v>6</c:v>
                </c:pt>
              </c:numCache>
            </c:numRef>
          </c:val>
          <c:smooth val="0"/>
          <c:extLst>
            <c:ext xmlns:c16="http://schemas.microsoft.com/office/drawing/2014/chart" uri="{C3380CC4-5D6E-409C-BE32-E72D297353CC}">
              <c16:uniqueId val="{00000002-42E1-4D29-A461-74AF53E23FFD}"/>
            </c:ext>
          </c:extLst>
        </c:ser>
        <c:dLbls>
          <c:showLegendKey val="0"/>
          <c:showVal val="0"/>
          <c:showCatName val="0"/>
          <c:showSerName val="0"/>
          <c:showPercent val="0"/>
          <c:showBubbleSize val="0"/>
        </c:dLbls>
        <c:marker val="1"/>
        <c:smooth val="0"/>
        <c:axId val="2008370512"/>
        <c:axId val="1996933632"/>
      </c:lineChart>
      <c:catAx>
        <c:axId val="20083074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6924992"/>
        <c:crosses val="autoZero"/>
        <c:auto val="1"/>
        <c:lblAlgn val="ctr"/>
        <c:lblOffset val="100"/>
        <c:noMultiLvlLbl val="0"/>
      </c:catAx>
      <c:valAx>
        <c:axId val="19969249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8307408"/>
        <c:crosses val="autoZero"/>
        <c:crossBetween val="between"/>
      </c:valAx>
      <c:valAx>
        <c:axId val="1996933632"/>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8370512"/>
        <c:crosses val="max"/>
        <c:crossBetween val="between"/>
      </c:valAx>
      <c:catAx>
        <c:axId val="2008370512"/>
        <c:scaling>
          <c:orientation val="minMax"/>
        </c:scaling>
        <c:delete val="1"/>
        <c:axPos val="b"/>
        <c:numFmt formatCode="General" sourceLinked="1"/>
        <c:majorTickMark val="out"/>
        <c:minorTickMark val="none"/>
        <c:tickLblPos val="nextTo"/>
        <c:crossAx val="1996933632"/>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[Inventory_Management_100_Rows.xlsx]Analysis!PivotTable1</c:name>
    <c:fmtId val="21"/>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Best Selling</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83000">
                  <a:srgbClr val="D5E1EF"/>
                </a:gs>
                <a:gs pos="100000">
                  <a:schemeClr val="accent1">
                    <a:lumMod val="30000"/>
                    <a:lumOff val="70000"/>
                  </a:schemeClr>
                </a:gs>
              </a:gsLst>
              <a:lin ang="5400000" scaled="1"/>
            </a:grad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Analysis!$G$4</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83000">
                    <a:srgbClr val="D5E1EF"/>
                  </a:gs>
                  <a:gs pos="100000">
                    <a:schemeClr val="accent1">
                      <a:lumMod val="30000"/>
                      <a:lumOff val="70000"/>
                    </a:schemeClr>
                  </a:gs>
                </a:gsLst>
                <a:lin ang="5400000" scaled="1"/>
              </a:gradFill>
            </a:ln>
            <a:effectLst>
              <a:outerShdw blurRad="40000" dist="23000" dir="5400000" rotWithShape="0">
                <a:srgbClr val="000000">
                  <a:alpha val="35000"/>
                </a:srgbClr>
              </a:outerShdw>
            </a:effectLst>
          </c:spPr>
          <c:invertIfNegative val="0"/>
          <c:cat>
            <c:strRef>
              <c:f>Analysis!$F$5:$F$15</c:f>
              <c:strCache>
                <c:ptCount val="10"/>
                <c:pt idx="0">
                  <c:v>Desk</c:v>
                </c:pt>
                <c:pt idx="1">
                  <c:v>Mouse</c:v>
                </c:pt>
                <c:pt idx="2">
                  <c:v>Laptop</c:v>
                </c:pt>
                <c:pt idx="3">
                  <c:v>Printer</c:v>
                </c:pt>
                <c:pt idx="4">
                  <c:v>Notebook</c:v>
                </c:pt>
                <c:pt idx="5">
                  <c:v>Router</c:v>
                </c:pt>
                <c:pt idx="6">
                  <c:v>Chair</c:v>
                </c:pt>
                <c:pt idx="7">
                  <c:v>Keyboard</c:v>
                </c:pt>
                <c:pt idx="8">
                  <c:v>Pen</c:v>
                </c:pt>
                <c:pt idx="9">
                  <c:v>Monitor</c:v>
                </c:pt>
              </c:strCache>
            </c:strRef>
          </c:cat>
          <c:val>
            <c:numRef>
              <c:f>Analysis!$G$5:$G$15</c:f>
              <c:numCache>
                <c:formatCode>General</c:formatCode>
                <c:ptCount val="10"/>
                <c:pt idx="0">
                  <c:v>1637</c:v>
                </c:pt>
                <c:pt idx="1">
                  <c:v>1448</c:v>
                </c:pt>
                <c:pt idx="2">
                  <c:v>1189</c:v>
                </c:pt>
                <c:pt idx="3">
                  <c:v>1131</c:v>
                </c:pt>
                <c:pt idx="4">
                  <c:v>1086</c:v>
                </c:pt>
                <c:pt idx="5">
                  <c:v>949</c:v>
                </c:pt>
                <c:pt idx="6">
                  <c:v>834</c:v>
                </c:pt>
                <c:pt idx="7">
                  <c:v>800</c:v>
                </c:pt>
                <c:pt idx="8">
                  <c:v>659</c:v>
                </c:pt>
                <c:pt idx="9">
                  <c:v>408</c:v>
                </c:pt>
              </c:numCache>
            </c:numRef>
          </c:val>
          <c:extLst>
            <c:ext xmlns:c16="http://schemas.microsoft.com/office/drawing/2014/chart" uri="{C3380CC4-5D6E-409C-BE32-E72D297353CC}">
              <c16:uniqueId val="{00000000-4E56-4586-96B2-22199B66A29B}"/>
            </c:ext>
          </c:extLst>
        </c:ser>
        <c:dLbls>
          <c:showLegendKey val="0"/>
          <c:showVal val="0"/>
          <c:showCatName val="0"/>
          <c:showSerName val="0"/>
          <c:showPercent val="0"/>
          <c:showBubbleSize val="0"/>
        </c:dLbls>
        <c:gapWidth val="0"/>
        <c:overlap val="100"/>
        <c:axId val="606690720"/>
        <c:axId val="447843936"/>
      </c:barChart>
      <c:catAx>
        <c:axId val="606690720"/>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2"/>
                </a:solidFill>
                <a:latin typeface="+mn-lt"/>
                <a:ea typeface="+mn-ea"/>
                <a:cs typeface="+mn-cs"/>
              </a:defRPr>
            </a:pPr>
            <a:endParaRPr lang="en-US"/>
          </a:p>
        </c:txPr>
        <c:crossAx val="447843936"/>
        <c:crosses val="autoZero"/>
        <c:auto val="1"/>
        <c:lblAlgn val="ctr"/>
        <c:lblOffset val="100"/>
        <c:noMultiLvlLbl val="0"/>
      </c:catAx>
      <c:valAx>
        <c:axId val="447843936"/>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6066907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[Inventory_Management_100_Rows.xlsx]Analysis!PivotTable2</c:name>
    <c:fmtId val="53"/>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Best</a:t>
            </a:r>
            <a:r>
              <a:rPr lang="en-IN" baseline="0"/>
              <a:t> Supplier</a:t>
            </a:r>
            <a:endParaRPr lang="en-IN"/>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IN"/>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Analysis!$C$19:$C$20</c:f>
              <c:strCache>
                <c:ptCount val="1"/>
                <c:pt idx="0">
                  <c:v>Prime Traders</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invertIfNegative val="0"/>
          <c:cat>
            <c:strRef>
              <c:f>Analysis!$B$21:$B$31</c:f>
              <c:strCache>
                <c:ptCount val="10"/>
                <c:pt idx="0">
                  <c:v>Desk</c:v>
                </c:pt>
                <c:pt idx="1">
                  <c:v>Mouse</c:v>
                </c:pt>
                <c:pt idx="2">
                  <c:v>Laptop</c:v>
                </c:pt>
                <c:pt idx="3">
                  <c:v>Printer</c:v>
                </c:pt>
                <c:pt idx="4">
                  <c:v>Notebook</c:v>
                </c:pt>
                <c:pt idx="5">
                  <c:v>Router</c:v>
                </c:pt>
                <c:pt idx="6">
                  <c:v>Chair</c:v>
                </c:pt>
                <c:pt idx="7">
                  <c:v>Keyboard</c:v>
                </c:pt>
                <c:pt idx="8">
                  <c:v>Pen</c:v>
                </c:pt>
                <c:pt idx="9">
                  <c:v>Monitor</c:v>
                </c:pt>
              </c:strCache>
            </c:strRef>
          </c:cat>
          <c:val>
            <c:numRef>
              <c:f>Analysis!$C$21:$C$31</c:f>
              <c:numCache>
                <c:formatCode>General</c:formatCode>
                <c:ptCount val="10"/>
                <c:pt idx="0">
                  <c:v>563</c:v>
                </c:pt>
                <c:pt idx="1">
                  <c:v>618</c:v>
                </c:pt>
                <c:pt idx="2">
                  <c:v>368</c:v>
                </c:pt>
                <c:pt idx="3">
                  <c:v>119</c:v>
                </c:pt>
                <c:pt idx="4">
                  <c:v>368</c:v>
                </c:pt>
                <c:pt idx="5">
                  <c:v>145</c:v>
                </c:pt>
                <c:pt idx="6">
                  <c:v>67</c:v>
                </c:pt>
                <c:pt idx="7">
                  <c:v>387</c:v>
                </c:pt>
              </c:numCache>
            </c:numRef>
          </c:val>
          <c:extLst>
            <c:ext xmlns:c16="http://schemas.microsoft.com/office/drawing/2014/chart" uri="{C3380CC4-5D6E-409C-BE32-E72D297353CC}">
              <c16:uniqueId val="{00000000-030B-44D7-ABCA-B0A68EA2BFE4}"/>
            </c:ext>
          </c:extLst>
        </c:ser>
        <c:ser>
          <c:idx val="1"/>
          <c:order val="1"/>
          <c:tx>
            <c:strRef>
              <c:f>Analysis!$D$19:$D$20</c:f>
              <c:strCache>
                <c:ptCount val="1"/>
                <c:pt idx="0">
                  <c:v>TechCorp</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invertIfNegative val="0"/>
          <c:cat>
            <c:strRef>
              <c:f>Analysis!$B$21:$B$31</c:f>
              <c:strCache>
                <c:ptCount val="10"/>
                <c:pt idx="0">
                  <c:v>Desk</c:v>
                </c:pt>
                <c:pt idx="1">
                  <c:v>Mouse</c:v>
                </c:pt>
                <c:pt idx="2">
                  <c:v>Laptop</c:v>
                </c:pt>
                <c:pt idx="3">
                  <c:v>Printer</c:v>
                </c:pt>
                <c:pt idx="4">
                  <c:v>Notebook</c:v>
                </c:pt>
                <c:pt idx="5">
                  <c:v>Router</c:v>
                </c:pt>
                <c:pt idx="6">
                  <c:v>Chair</c:v>
                </c:pt>
                <c:pt idx="7">
                  <c:v>Keyboard</c:v>
                </c:pt>
                <c:pt idx="8">
                  <c:v>Pen</c:v>
                </c:pt>
                <c:pt idx="9">
                  <c:v>Monitor</c:v>
                </c:pt>
              </c:strCache>
            </c:strRef>
          </c:cat>
          <c:val>
            <c:numRef>
              <c:f>Analysis!$D$21:$D$31</c:f>
              <c:numCache>
                <c:formatCode>General</c:formatCode>
                <c:ptCount val="10"/>
                <c:pt idx="0">
                  <c:v>184</c:v>
                </c:pt>
                <c:pt idx="1">
                  <c:v>230</c:v>
                </c:pt>
                <c:pt idx="2">
                  <c:v>422</c:v>
                </c:pt>
                <c:pt idx="3">
                  <c:v>478</c:v>
                </c:pt>
                <c:pt idx="4">
                  <c:v>129</c:v>
                </c:pt>
                <c:pt idx="5">
                  <c:v>291</c:v>
                </c:pt>
                <c:pt idx="6">
                  <c:v>194</c:v>
                </c:pt>
                <c:pt idx="7">
                  <c:v>227</c:v>
                </c:pt>
                <c:pt idx="8">
                  <c:v>57</c:v>
                </c:pt>
                <c:pt idx="9">
                  <c:v>78</c:v>
                </c:pt>
              </c:numCache>
            </c:numRef>
          </c:val>
          <c:extLst>
            <c:ext xmlns:c16="http://schemas.microsoft.com/office/drawing/2014/chart" uri="{C3380CC4-5D6E-409C-BE32-E72D297353CC}">
              <c16:uniqueId val="{00000006-030B-44D7-ABCA-B0A68EA2BFE4}"/>
            </c:ext>
          </c:extLst>
        </c:ser>
        <c:ser>
          <c:idx val="2"/>
          <c:order val="2"/>
          <c:tx>
            <c:strRef>
              <c:f>Analysis!$E$19:$E$20</c:f>
              <c:strCache>
                <c:ptCount val="1"/>
                <c:pt idx="0">
                  <c:v>FurniCo</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c:spPr>
          <c:invertIfNegative val="0"/>
          <c:cat>
            <c:strRef>
              <c:f>Analysis!$B$21:$B$31</c:f>
              <c:strCache>
                <c:ptCount val="10"/>
                <c:pt idx="0">
                  <c:v>Desk</c:v>
                </c:pt>
                <c:pt idx="1">
                  <c:v>Mouse</c:v>
                </c:pt>
                <c:pt idx="2">
                  <c:v>Laptop</c:v>
                </c:pt>
                <c:pt idx="3">
                  <c:v>Printer</c:v>
                </c:pt>
                <c:pt idx="4">
                  <c:v>Notebook</c:v>
                </c:pt>
                <c:pt idx="5">
                  <c:v>Router</c:v>
                </c:pt>
                <c:pt idx="6">
                  <c:v>Chair</c:v>
                </c:pt>
                <c:pt idx="7">
                  <c:v>Keyboard</c:v>
                </c:pt>
                <c:pt idx="8">
                  <c:v>Pen</c:v>
                </c:pt>
                <c:pt idx="9">
                  <c:v>Monitor</c:v>
                </c:pt>
              </c:strCache>
            </c:strRef>
          </c:cat>
          <c:val>
            <c:numRef>
              <c:f>Analysis!$E$21:$E$31</c:f>
              <c:numCache>
                <c:formatCode>General</c:formatCode>
                <c:ptCount val="10"/>
                <c:pt idx="0">
                  <c:v>356</c:v>
                </c:pt>
                <c:pt idx="1">
                  <c:v>54</c:v>
                </c:pt>
                <c:pt idx="2">
                  <c:v>125</c:v>
                </c:pt>
                <c:pt idx="3">
                  <c:v>449</c:v>
                </c:pt>
                <c:pt idx="4">
                  <c:v>154</c:v>
                </c:pt>
                <c:pt idx="5">
                  <c:v>243</c:v>
                </c:pt>
                <c:pt idx="6">
                  <c:v>344</c:v>
                </c:pt>
                <c:pt idx="7">
                  <c:v>9</c:v>
                </c:pt>
                <c:pt idx="8">
                  <c:v>182</c:v>
                </c:pt>
                <c:pt idx="9">
                  <c:v>94</c:v>
                </c:pt>
              </c:numCache>
            </c:numRef>
          </c:val>
          <c:extLst>
            <c:ext xmlns:c16="http://schemas.microsoft.com/office/drawing/2014/chart" uri="{C3380CC4-5D6E-409C-BE32-E72D297353CC}">
              <c16:uniqueId val="{00000007-030B-44D7-ABCA-B0A68EA2BFE4}"/>
            </c:ext>
          </c:extLst>
        </c:ser>
        <c:ser>
          <c:idx val="3"/>
          <c:order val="3"/>
          <c:tx>
            <c:strRef>
              <c:f>Analysis!$F$19:$F$20</c:f>
              <c:strCache>
                <c:ptCount val="1"/>
                <c:pt idx="0">
                  <c:v>OfficeMart</c:v>
                </c:pt>
              </c:strCache>
            </c:strRef>
          </c:tx>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c:spPr>
          <c:invertIfNegative val="0"/>
          <c:cat>
            <c:strRef>
              <c:f>Analysis!$B$21:$B$31</c:f>
              <c:strCache>
                <c:ptCount val="10"/>
                <c:pt idx="0">
                  <c:v>Desk</c:v>
                </c:pt>
                <c:pt idx="1">
                  <c:v>Mouse</c:v>
                </c:pt>
                <c:pt idx="2">
                  <c:v>Laptop</c:v>
                </c:pt>
                <c:pt idx="3">
                  <c:v>Printer</c:v>
                </c:pt>
                <c:pt idx="4">
                  <c:v>Notebook</c:v>
                </c:pt>
                <c:pt idx="5">
                  <c:v>Router</c:v>
                </c:pt>
                <c:pt idx="6">
                  <c:v>Chair</c:v>
                </c:pt>
                <c:pt idx="7">
                  <c:v>Keyboard</c:v>
                </c:pt>
                <c:pt idx="8">
                  <c:v>Pen</c:v>
                </c:pt>
                <c:pt idx="9">
                  <c:v>Monitor</c:v>
                </c:pt>
              </c:strCache>
            </c:strRef>
          </c:cat>
          <c:val>
            <c:numRef>
              <c:f>Analysis!$F$21:$F$31</c:f>
              <c:numCache>
                <c:formatCode>General</c:formatCode>
                <c:ptCount val="10"/>
                <c:pt idx="0">
                  <c:v>358</c:v>
                </c:pt>
                <c:pt idx="1">
                  <c:v>99</c:v>
                </c:pt>
                <c:pt idx="2">
                  <c:v>205</c:v>
                </c:pt>
                <c:pt idx="3">
                  <c:v>85</c:v>
                </c:pt>
                <c:pt idx="4">
                  <c:v>149</c:v>
                </c:pt>
                <c:pt idx="6">
                  <c:v>180</c:v>
                </c:pt>
                <c:pt idx="7">
                  <c:v>155</c:v>
                </c:pt>
                <c:pt idx="8">
                  <c:v>399</c:v>
                </c:pt>
                <c:pt idx="9">
                  <c:v>48</c:v>
                </c:pt>
              </c:numCache>
            </c:numRef>
          </c:val>
          <c:extLst>
            <c:ext xmlns:c16="http://schemas.microsoft.com/office/drawing/2014/chart" uri="{C3380CC4-5D6E-409C-BE32-E72D297353CC}">
              <c16:uniqueId val="{00000008-030B-44D7-ABCA-B0A68EA2BFE4}"/>
            </c:ext>
          </c:extLst>
        </c:ser>
        <c:ser>
          <c:idx val="4"/>
          <c:order val="4"/>
          <c:tx>
            <c:strRef>
              <c:f>Analysis!$G$19:$G$20</c:f>
              <c:strCache>
                <c:ptCount val="1"/>
                <c:pt idx="0">
                  <c:v>Global Supplies</c:v>
                </c:pt>
              </c:strCache>
            </c:strRef>
          </c:tx>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c:spPr>
          <c:invertIfNegative val="0"/>
          <c:cat>
            <c:strRef>
              <c:f>Analysis!$B$21:$B$31</c:f>
              <c:strCache>
                <c:ptCount val="10"/>
                <c:pt idx="0">
                  <c:v>Desk</c:v>
                </c:pt>
                <c:pt idx="1">
                  <c:v>Mouse</c:v>
                </c:pt>
                <c:pt idx="2">
                  <c:v>Laptop</c:v>
                </c:pt>
                <c:pt idx="3">
                  <c:v>Printer</c:v>
                </c:pt>
                <c:pt idx="4">
                  <c:v>Notebook</c:v>
                </c:pt>
                <c:pt idx="5">
                  <c:v>Router</c:v>
                </c:pt>
                <c:pt idx="6">
                  <c:v>Chair</c:v>
                </c:pt>
                <c:pt idx="7">
                  <c:v>Keyboard</c:v>
                </c:pt>
                <c:pt idx="8">
                  <c:v>Pen</c:v>
                </c:pt>
                <c:pt idx="9">
                  <c:v>Monitor</c:v>
                </c:pt>
              </c:strCache>
            </c:strRef>
          </c:cat>
          <c:val>
            <c:numRef>
              <c:f>Analysis!$G$21:$G$31</c:f>
              <c:numCache>
                <c:formatCode>General</c:formatCode>
                <c:ptCount val="10"/>
                <c:pt idx="0">
                  <c:v>176</c:v>
                </c:pt>
                <c:pt idx="1">
                  <c:v>447</c:v>
                </c:pt>
                <c:pt idx="2">
                  <c:v>69</c:v>
                </c:pt>
                <c:pt idx="4">
                  <c:v>286</c:v>
                </c:pt>
                <c:pt idx="5">
                  <c:v>270</c:v>
                </c:pt>
                <c:pt idx="6">
                  <c:v>49</c:v>
                </c:pt>
                <c:pt idx="7">
                  <c:v>22</c:v>
                </c:pt>
                <c:pt idx="8">
                  <c:v>21</c:v>
                </c:pt>
                <c:pt idx="9">
                  <c:v>188</c:v>
                </c:pt>
              </c:numCache>
            </c:numRef>
          </c:val>
          <c:extLst>
            <c:ext xmlns:c16="http://schemas.microsoft.com/office/drawing/2014/chart" uri="{C3380CC4-5D6E-409C-BE32-E72D297353CC}">
              <c16:uniqueId val="{00000009-030B-44D7-ABCA-B0A68EA2BFE4}"/>
            </c:ext>
          </c:extLst>
        </c:ser>
        <c:dLbls>
          <c:showLegendKey val="0"/>
          <c:showVal val="0"/>
          <c:showCatName val="0"/>
          <c:showSerName val="0"/>
          <c:showPercent val="0"/>
          <c:showBubbleSize val="0"/>
        </c:dLbls>
        <c:gapWidth val="0"/>
        <c:overlap val="-24"/>
        <c:axId val="606694432"/>
        <c:axId val="447843456"/>
      </c:barChart>
      <c:catAx>
        <c:axId val="606694432"/>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2"/>
                </a:solidFill>
                <a:latin typeface="+mn-lt"/>
                <a:ea typeface="+mn-ea"/>
                <a:cs typeface="+mn-cs"/>
              </a:defRPr>
            </a:pPr>
            <a:endParaRPr lang="en-US"/>
          </a:p>
        </c:txPr>
        <c:crossAx val="447843456"/>
        <c:crosses val="autoZero"/>
        <c:auto val="1"/>
        <c:lblAlgn val="ctr"/>
        <c:lblOffset val="100"/>
        <c:noMultiLvlLbl val="0"/>
      </c:catAx>
      <c:valAx>
        <c:axId val="447843456"/>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606694432"/>
        <c:crosses val="autoZero"/>
        <c:crossBetween val="between"/>
      </c:valAx>
      <c:spPr>
        <a:noFill/>
        <a:ln>
          <a:noFill/>
        </a:ln>
        <a:effectLst>
          <a:innerShdw blurRad="63500" dist="50800" dir="16200000">
            <a:prstClr val="black">
              <a:alpha val="50000"/>
            </a:prstClr>
          </a:innerShdw>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[Inventory_Management_100_Rows.xlsx]Analysis!PivotTable3</c:name>
    <c:fmtId val="36"/>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Stock</a:t>
            </a:r>
            <a:r>
              <a:rPr lang="en-US" baseline="0"/>
              <a:t> Value By Date</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ln w="31750"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Analysis!$G$36</c:f>
              <c:strCache>
                <c:ptCount val="1"/>
                <c:pt idx="0">
                  <c:v>Total</c:v>
                </c:pt>
              </c:strCache>
            </c:strRef>
          </c:tx>
          <c:spPr>
            <a:ln w="31750"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cat>
            <c:strRef>
              <c:f>Analysis!$F$37:$F$44</c:f>
              <c:strCache>
                <c:ptCount val="7"/>
                <c:pt idx="0">
                  <c:v>May</c:v>
                </c:pt>
                <c:pt idx="1">
                  <c:v>Jan</c:v>
                </c:pt>
                <c:pt idx="2">
                  <c:v>Jul</c:v>
                </c:pt>
                <c:pt idx="3">
                  <c:v>Jun</c:v>
                </c:pt>
                <c:pt idx="4">
                  <c:v>Apr</c:v>
                </c:pt>
                <c:pt idx="5">
                  <c:v>Mar</c:v>
                </c:pt>
                <c:pt idx="6">
                  <c:v>Feb</c:v>
                </c:pt>
              </c:strCache>
            </c:strRef>
          </c:cat>
          <c:val>
            <c:numRef>
              <c:f>Analysis!$G$37:$G$44</c:f>
              <c:numCache>
                <c:formatCode>#,##0</c:formatCode>
                <c:ptCount val="7"/>
                <c:pt idx="0">
                  <c:v>54977556</c:v>
                </c:pt>
                <c:pt idx="1">
                  <c:v>54902022</c:v>
                </c:pt>
                <c:pt idx="2">
                  <c:v>54867498</c:v>
                </c:pt>
                <c:pt idx="3">
                  <c:v>43229995</c:v>
                </c:pt>
                <c:pt idx="4">
                  <c:v>36248497</c:v>
                </c:pt>
                <c:pt idx="5">
                  <c:v>34524085</c:v>
                </c:pt>
                <c:pt idx="6">
                  <c:v>26882350</c:v>
                </c:pt>
              </c:numCache>
            </c:numRef>
          </c:val>
          <c:smooth val="0"/>
          <c:extLst>
            <c:ext xmlns:c16="http://schemas.microsoft.com/office/drawing/2014/chart" uri="{C3380CC4-5D6E-409C-BE32-E72D297353CC}">
              <c16:uniqueId val="{00000000-E46F-449B-A982-FAEBA16EFF03}"/>
            </c:ext>
          </c:extLst>
        </c:ser>
        <c:dLbls>
          <c:showLegendKey val="0"/>
          <c:showVal val="0"/>
          <c:showCatName val="0"/>
          <c:showSerName val="0"/>
          <c:showPercent val="0"/>
          <c:showBubbleSize val="0"/>
        </c:dLbls>
        <c:marker val="1"/>
        <c:smooth val="0"/>
        <c:axId val="598321792"/>
        <c:axId val="648709600"/>
      </c:lineChart>
      <c:catAx>
        <c:axId val="598321792"/>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648709600"/>
        <c:crosses val="autoZero"/>
        <c:auto val="1"/>
        <c:lblAlgn val="ctr"/>
        <c:lblOffset val="100"/>
        <c:noMultiLvlLbl val="0"/>
      </c:catAx>
      <c:valAx>
        <c:axId val="648709600"/>
        <c:scaling>
          <c:orientation val="minMax"/>
        </c:scaling>
        <c:delete val="0"/>
        <c:axPos val="l"/>
        <c:majorGridlines>
          <c:spPr>
            <a:ln w="9525" cap="flat" cmpd="sng" algn="ctr">
              <a:solidFill>
                <a:schemeClr val="tx2">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598321792"/>
        <c:crosses val="autoZero"/>
        <c:crossBetween val="between"/>
      </c:valAx>
      <c:dTable>
        <c:showHorzBorder val="1"/>
        <c:showVertBorder val="1"/>
        <c:showOutline val="1"/>
        <c:showKeys val="1"/>
        <c:spPr>
          <a:noFill/>
          <a:ln w="9525">
            <a:solidFill>
              <a:schemeClr val="tx2">
                <a:lumMod val="15000"/>
                <a:lumOff val="85000"/>
              </a:schemeClr>
            </a:solidFill>
          </a:ln>
          <a:effectLst/>
        </c:spPr>
        <c:txPr>
          <a:bodyPr rot="0" spcFirstLastPara="1" vertOverflow="ellipsis" vert="horz" wrap="square" anchor="ctr" anchorCtr="1"/>
          <a:lstStyle/>
          <a:p>
            <a:pPr rtl="0">
              <a:defRPr sz="900" b="0" i="0" u="none" strike="noStrike" kern="1200" baseline="0">
                <a:solidFill>
                  <a:schemeClr val="tx2"/>
                </a:solidFill>
                <a:latin typeface="+mn-lt"/>
                <a:ea typeface="+mn-ea"/>
                <a:cs typeface="+mn-cs"/>
              </a:defRPr>
            </a:pPr>
            <a:endParaRPr lang="en-US"/>
          </a:p>
        </c:txPr>
      </c:dTable>
      <c:spPr>
        <a:noFill/>
        <a:ln>
          <a:noFill/>
        </a:ln>
        <a:effectLst/>
      </c:spPr>
    </c:plotArea>
    <c:legend>
      <c:legendPos val="r"/>
      <c:layout>
        <c:manualLayout>
          <c:xMode val="edge"/>
          <c:yMode val="edge"/>
          <c:x val="0.88595495330525542"/>
          <c:y val="0.56227981918926806"/>
          <c:w val="0.10739300017776662"/>
          <c:h val="7.5301731861830534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[Inventory_Management_100_Rows.xlsx]Analysis!PivotTable1</c:name>
    <c:fmtId val="2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Best Selling</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Analysis!$G$4</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Analysis!$F$5:$F$15</c:f>
              <c:strCache>
                <c:ptCount val="10"/>
                <c:pt idx="0">
                  <c:v>Desk</c:v>
                </c:pt>
                <c:pt idx="1">
                  <c:v>Mouse</c:v>
                </c:pt>
                <c:pt idx="2">
                  <c:v>Laptop</c:v>
                </c:pt>
                <c:pt idx="3">
                  <c:v>Printer</c:v>
                </c:pt>
                <c:pt idx="4">
                  <c:v>Notebook</c:v>
                </c:pt>
                <c:pt idx="5">
                  <c:v>Router</c:v>
                </c:pt>
                <c:pt idx="6">
                  <c:v>Chair</c:v>
                </c:pt>
                <c:pt idx="7">
                  <c:v>Keyboard</c:v>
                </c:pt>
                <c:pt idx="8">
                  <c:v>Pen</c:v>
                </c:pt>
                <c:pt idx="9">
                  <c:v>Monitor</c:v>
                </c:pt>
              </c:strCache>
            </c:strRef>
          </c:cat>
          <c:val>
            <c:numRef>
              <c:f>Analysis!$G$5:$G$15</c:f>
              <c:numCache>
                <c:formatCode>General</c:formatCode>
                <c:ptCount val="10"/>
                <c:pt idx="0">
                  <c:v>1637</c:v>
                </c:pt>
                <c:pt idx="1">
                  <c:v>1448</c:v>
                </c:pt>
                <c:pt idx="2">
                  <c:v>1189</c:v>
                </c:pt>
                <c:pt idx="3">
                  <c:v>1131</c:v>
                </c:pt>
                <c:pt idx="4">
                  <c:v>1086</c:v>
                </c:pt>
                <c:pt idx="5">
                  <c:v>949</c:v>
                </c:pt>
                <c:pt idx="6">
                  <c:v>834</c:v>
                </c:pt>
                <c:pt idx="7">
                  <c:v>800</c:v>
                </c:pt>
                <c:pt idx="8">
                  <c:v>659</c:v>
                </c:pt>
                <c:pt idx="9">
                  <c:v>408</c:v>
                </c:pt>
              </c:numCache>
            </c:numRef>
          </c:val>
          <c:extLst>
            <c:ext xmlns:c16="http://schemas.microsoft.com/office/drawing/2014/chart" uri="{C3380CC4-5D6E-409C-BE32-E72D297353CC}">
              <c16:uniqueId val="{00000000-C9E0-49D0-8E35-70749C7A5691}"/>
            </c:ext>
          </c:extLst>
        </c:ser>
        <c:dLbls>
          <c:showLegendKey val="0"/>
          <c:showVal val="0"/>
          <c:showCatName val="0"/>
          <c:showSerName val="0"/>
          <c:showPercent val="0"/>
          <c:showBubbleSize val="0"/>
        </c:dLbls>
        <c:gapWidth val="150"/>
        <c:overlap val="100"/>
        <c:axId val="606690720"/>
        <c:axId val="447843936"/>
      </c:barChart>
      <c:catAx>
        <c:axId val="60669072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5400000" spcFirstLastPara="1" vertOverflow="ellipsis"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47843936"/>
        <c:crosses val="autoZero"/>
        <c:auto val="1"/>
        <c:lblAlgn val="ctr"/>
        <c:lblOffset val="100"/>
        <c:noMultiLvlLbl val="0"/>
      </c:catAx>
      <c:valAx>
        <c:axId val="447843936"/>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066907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[Inventory_Management_100_Rows.xlsx]Analysis!PivotTable2</c:name>
    <c:fmtId val="6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Best Supplier</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Analysis!$C$19:$C$20</c:f>
              <c:strCache>
                <c:ptCount val="1"/>
                <c:pt idx="0">
                  <c:v>Prime Traders</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Analysis!$B$21:$B$31</c:f>
              <c:strCache>
                <c:ptCount val="10"/>
                <c:pt idx="0">
                  <c:v>Desk</c:v>
                </c:pt>
                <c:pt idx="1">
                  <c:v>Mouse</c:v>
                </c:pt>
                <c:pt idx="2">
                  <c:v>Laptop</c:v>
                </c:pt>
                <c:pt idx="3">
                  <c:v>Printer</c:v>
                </c:pt>
                <c:pt idx="4">
                  <c:v>Notebook</c:v>
                </c:pt>
                <c:pt idx="5">
                  <c:v>Router</c:v>
                </c:pt>
                <c:pt idx="6">
                  <c:v>Chair</c:v>
                </c:pt>
                <c:pt idx="7">
                  <c:v>Keyboard</c:v>
                </c:pt>
                <c:pt idx="8">
                  <c:v>Pen</c:v>
                </c:pt>
                <c:pt idx="9">
                  <c:v>Monitor</c:v>
                </c:pt>
              </c:strCache>
            </c:strRef>
          </c:cat>
          <c:val>
            <c:numRef>
              <c:f>Analysis!$C$21:$C$31</c:f>
              <c:numCache>
                <c:formatCode>General</c:formatCode>
                <c:ptCount val="10"/>
                <c:pt idx="0">
                  <c:v>563</c:v>
                </c:pt>
                <c:pt idx="1">
                  <c:v>618</c:v>
                </c:pt>
                <c:pt idx="2">
                  <c:v>368</c:v>
                </c:pt>
                <c:pt idx="3">
                  <c:v>119</c:v>
                </c:pt>
                <c:pt idx="4">
                  <c:v>368</c:v>
                </c:pt>
                <c:pt idx="5">
                  <c:v>145</c:v>
                </c:pt>
                <c:pt idx="6">
                  <c:v>67</c:v>
                </c:pt>
                <c:pt idx="7">
                  <c:v>387</c:v>
                </c:pt>
              </c:numCache>
            </c:numRef>
          </c:val>
          <c:extLst>
            <c:ext xmlns:c16="http://schemas.microsoft.com/office/drawing/2014/chart" uri="{C3380CC4-5D6E-409C-BE32-E72D297353CC}">
              <c16:uniqueId val="{00000000-DA42-4D0B-AE30-A9ABA1BFEE71}"/>
            </c:ext>
          </c:extLst>
        </c:ser>
        <c:ser>
          <c:idx val="1"/>
          <c:order val="1"/>
          <c:tx>
            <c:strRef>
              <c:f>Analysis!$D$19:$D$20</c:f>
              <c:strCache>
                <c:ptCount val="1"/>
                <c:pt idx="0">
                  <c:v>TechCorp</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Analysis!$B$21:$B$31</c:f>
              <c:strCache>
                <c:ptCount val="10"/>
                <c:pt idx="0">
                  <c:v>Desk</c:v>
                </c:pt>
                <c:pt idx="1">
                  <c:v>Mouse</c:v>
                </c:pt>
                <c:pt idx="2">
                  <c:v>Laptop</c:v>
                </c:pt>
                <c:pt idx="3">
                  <c:v>Printer</c:v>
                </c:pt>
                <c:pt idx="4">
                  <c:v>Notebook</c:v>
                </c:pt>
                <c:pt idx="5">
                  <c:v>Router</c:v>
                </c:pt>
                <c:pt idx="6">
                  <c:v>Chair</c:v>
                </c:pt>
                <c:pt idx="7">
                  <c:v>Keyboard</c:v>
                </c:pt>
                <c:pt idx="8">
                  <c:v>Pen</c:v>
                </c:pt>
                <c:pt idx="9">
                  <c:v>Monitor</c:v>
                </c:pt>
              </c:strCache>
            </c:strRef>
          </c:cat>
          <c:val>
            <c:numRef>
              <c:f>Analysis!$D$21:$D$31</c:f>
              <c:numCache>
                <c:formatCode>General</c:formatCode>
                <c:ptCount val="10"/>
                <c:pt idx="0">
                  <c:v>184</c:v>
                </c:pt>
                <c:pt idx="1">
                  <c:v>230</c:v>
                </c:pt>
                <c:pt idx="2">
                  <c:v>422</c:v>
                </c:pt>
                <c:pt idx="3">
                  <c:v>478</c:v>
                </c:pt>
                <c:pt idx="4">
                  <c:v>129</c:v>
                </c:pt>
                <c:pt idx="5">
                  <c:v>291</c:v>
                </c:pt>
                <c:pt idx="6">
                  <c:v>194</c:v>
                </c:pt>
                <c:pt idx="7">
                  <c:v>227</c:v>
                </c:pt>
                <c:pt idx="8">
                  <c:v>57</c:v>
                </c:pt>
                <c:pt idx="9">
                  <c:v>78</c:v>
                </c:pt>
              </c:numCache>
            </c:numRef>
          </c:val>
          <c:extLst>
            <c:ext xmlns:c16="http://schemas.microsoft.com/office/drawing/2014/chart" uri="{C3380CC4-5D6E-409C-BE32-E72D297353CC}">
              <c16:uniqueId val="{00000001-DA42-4D0B-AE30-A9ABA1BFEE71}"/>
            </c:ext>
          </c:extLst>
        </c:ser>
        <c:ser>
          <c:idx val="2"/>
          <c:order val="2"/>
          <c:tx>
            <c:strRef>
              <c:f>Analysis!$E$19:$E$20</c:f>
              <c:strCache>
                <c:ptCount val="1"/>
                <c:pt idx="0">
                  <c:v>FurniCo</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Analysis!$B$21:$B$31</c:f>
              <c:strCache>
                <c:ptCount val="10"/>
                <c:pt idx="0">
                  <c:v>Desk</c:v>
                </c:pt>
                <c:pt idx="1">
                  <c:v>Mouse</c:v>
                </c:pt>
                <c:pt idx="2">
                  <c:v>Laptop</c:v>
                </c:pt>
                <c:pt idx="3">
                  <c:v>Printer</c:v>
                </c:pt>
                <c:pt idx="4">
                  <c:v>Notebook</c:v>
                </c:pt>
                <c:pt idx="5">
                  <c:v>Router</c:v>
                </c:pt>
                <c:pt idx="6">
                  <c:v>Chair</c:v>
                </c:pt>
                <c:pt idx="7">
                  <c:v>Keyboard</c:v>
                </c:pt>
                <c:pt idx="8">
                  <c:v>Pen</c:v>
                </c:pt>
                <c:pt idx="9">
                  <c:v>Monitor</c:v>
                </c:pt>
              </c:strCache>
            </c:strRef>
          </c:cat>
          <c:val>
            <c:numRef>
              <c:f>Analysis!$E$21:$E$31</c:f>
              <c:numCache>
                <c:formatCode>General</c:formatCode>
                <c:ptCount val="10"/>
                <c:pt idx="0">
                  <c:v>356</c:v>
                </c:pt>
                <c:pt idx="1">
                  <c:v>54</c:v>
                </c:pt>
                <c:pt idx="2">
                  <c:v>125</c:v>
                </c:pt>
                <c:pt idx="3">
                  <c:v>449</c:v>
                </c:pt>
                <c:pt idx="4">
                  <c:v>154</c:v>
                </c:pt>
                <c:pt idx="5">
                  <c:v>243</c:v>
                </c:pt>
                <c:pt idx="6">
                  <c:v>344</c:v>
                </c:pt>
                <c:pt idx="7">
                  <c:v>9</c:v>
                </c:pt>
                <c:pt idx="8">
                  <c:v>182</c:v>
                </c:pt>
                <c:pt idx="9">
                  <c:v>94</c:v>
                </c:pt>
              </c:numCache>
            </c:numRef>
          </c:val>
          <c:extLst>
            <c:ext xmlns:c16="http://schemas.microsoft.com/office/drawing/2014/chart" uri="{C3380CC4-5D6E-409C-BE32-E72D297353CC}">
              <c16:uniqueId val="{00000002-DA42-4D0B-AE30-A9ABA1BFEE71}"/>
            </c:ext>
          </c:extLst>
        </c:ser>
        <c:ser>
          <c:idx val="3"/>
          <c:order val="3"/>
          <c:tx>
            <c:strRef>
              <c:f>Analysis!$F$19:$F$20</c:f>
              <c:strCache>
                <c:ptCount val="1"/>
                <c:pt idx="0">
                  <c:v>OfficeMart</c:v>
                </c:pt>
              </c:strCache>
            </c:strRef>
          </c:tx>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Analysis!$B$21:$B$31</c:f>
              <c:strCache>
                <c:ptCount val="10"/>
                <c:pt idx="0">
                  <c:v>Desk</c:v>
                </c:pt>
                <c:pt idx="1">
                  <c:v>Mouse</c:v>
                </c:pt>
                <c:pt idx="2">
                  <c:v>Laptop</c:v>
                </c:pt>
                <c:pt idx="3">
                  <c:v>Printer</c:v>
                </c:pt>
                <c:pt idx="4">
                  <c:v>Notebook</c:v>
                </c:pt>
                <c:pt idx="5">
                  <c:v>Router</c:v>
                </c:pt>
                <c:pt idx="6">
                  <c:v>Chair</c:v>
                </c:pt>
                <c:pt idx="7">
                  <c:v>Keyboard</c:v>
                </c:pt>
                <c:pt idx="8">
                  <c:v>Pen</c:v>
                </c:pt>
                <c:pt idx="9">
                  <c:v>Monitor</c:v>
                </c:pt>
              </c:strCache>
            </c:strRef>
          </c:cat>
          <c:val>
            <c:numRef>
              <c:f>Analysis!$F$21:$F$31</c:f>
              <c:numCache>
                <c:formatCode>General</c:formatCode>
                <c:ptCount val="10"/>
                <c:pt idx="0">
                  <c:v>358</c:v>
                </c:pt>
                <c:pt idx="1">
                  <c:v>99</c:v>
                </c:pt>
                <c:pt idx="2">
                  <c:v>205</c:v>
                </c:pt>
                <c:pt idx="3">
                  <c:v>85</c:v>
                </c:pt>
                <c:pt idx="4">
                  <c:v>149</c:v>
                </c:pt>
                <c:pt idx="6">
                  <c:v>180</c:v>
                </c:pt>
                <c:pt idx="7">
                  <c:v>155</c:v>
                </c:pt>
                <c:pt idx="8">
                  <c:v>399</c:v>
                </c:pt>
                <c:pt idx="9">
                  <c:v>48</c:v>
                </c:pt>
              </c:numCache>
            </c:numRef>
          </c:val>
          <c:extLst>
            <c:ext xmlns:c16="http://schemas.microsoft.com/office/drawing/2014/chart" uri="{C3380CC4-5D6E-409C-BE32-E72D297353CC}">
              <c16:uniqueId val="{00000003-DA42-4D0B-AE30-A9ABA1BFEE71}"/>
            </c:ext>
          </c:extLst>
        </c:ser>
        <c:ser>
          <c:idx val="4"/>
          <c:order val="4"/>
          <c:tx>
            <c:strRef>
              <c:f>Analysis!$G$19:$G$20</c:f>
              <c:strCache>
                <c:ptCount val="1"/>
                <c:pt idx="0">
                  <c:v>Global Supplies</c:v>
                </c:pt>
              </c:strCache>
            </c:strRef>
          </c:tx>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Analysis!$B$21:$B$31</c:f>
              <c:strCache>
                <c:ptCount val="10"/>
                <c:pt idx="0">
                  <c:v>Desk</c:v>
                </c:pt>
                <c:pt idx="1">
                  <c:v>Mouse</c:v>
                </c:pt>
                <c:pt idx="2">
                  <c:v>Laptop</c:v>
                </c:pt>
                <c:pt idx="3">
                  <c:v>Printer</c:v>
                </c:pt>
                <c:pt idx="4">
                  <c:v>Notebook</c:v>
                </c:pt>
                <c:pt idx="5">
                  <c:v>Router</c:v>
                </c:pt>
                <c:pt idx="6">
                  <c:v>Chair</c:v>
                </c:pt>
                <c:pt idx="7">
                  <c:v>Keyboard</c:v>
                </c:pt>
                <c:pt idx="8">
                  <c:v>Pen</c:v>
                </c:pt>
                <c:pt idx="9">
                  <c:v>Monitor</c:v>
                </c:pt>
              </c:strCache>
            </c:strRef>
          </c:cat>
          <c:val>
            <c:numRef>
              <c:f>Analysis!$G$21:$G$31</c:f>
              <c:numCache>
                <c:formatCode>General</c:formatCode>
                <c:ptCount val="10"/>
                <c:pt idx="0">
                  <c:v>176</c:v>
                </c:pt>
                <c:pt idx="1">
                  <c:v>447</c:v>
                </c:pt>
                <c:pt idx="2">
                  <c:v>69</c:v>
                </c:pt>
                <c:pt idx="4">
                  <c:v>286</c:v>
                </c:pt>
                <c:pt idx="5">
                  <c:v>270</c:v>
                </c:pt>
                <c:pt idx="6">
                  <c:v>49</c:v>
                </c:pt>
                <c:pt idx="7">
                  <c:v>22</c:v>
                </c:pt>
                <c:pt idx="8">
                  <c:v>21</c:v>
                </c:pt>
                <c:pt idx="9">
                  <c:v>188</c:v>
                </c:pt>
              </c:numCache>
            </c:numRef>
          </c:val>
          <c:extLst>
            <c:ext xmlns:c16="http://schemas.microsoft.com/office/drawing/2014/chart" uri="{C3380CC4-5D6E-409C-BE32-E72D297353CC}">
              <c16:uniqueId val="{00000004-DA42-4D0B-AE30-A9ABA1BFEE71}"/>
            </c:ext>
          </c:extLst>
        </c:ser>
        <c:dLbls>
          <c:showLegendKey val="0"/>
          <c:showVal val="0"/>
          <c:showCatName val="0"/>
          <c:showSerName val="0"/>
          <c:showPercent val="0"/>
          <c:showBubbleSize val="0"/>
        </c:dLbls>
        <c:gapWidth val="100"/>
        <c:overlap val="-24"/>
        <c:axId val="606694432"/>
        <c:axId val="447843456"/>
      </c:barChart>
      <c:catAx>
        <c:axId val="60669443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5400000" spcFirstLastPara="1" vertOverflow="ellipsis"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47843456"/>
        <c:crosses val="autoZero"/>
        <c:auto val="1"/>
        <c:lblAlgn val="ctr"/>
        <c:lblOffset val="100"/>
        <c:noMultiLvlLbl val="0"/>
      </c:catAx>
      <c:valAx>
        <c:axId val="447843456"/>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066944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[Inventory_Management_100_Rows.xlsx]Analysis!PivotTable3</c:name>
    <c:fmtId val="4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Stock Value By Date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Analysis!$G$36</c:f>
              <c:strCache>
                <c:ptCount val="1"/>
                <c:pt idx="0">
                  <c:v>Total</c:v>
                </c:pt>
              </c:strCache>
            </c:strRef>
          </c:tx>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Analysis!$F$37:$F$44</c:f>
              <c:strCache>
                <c:ptCount val="7"/>
                <c:pt idx="0">
                  <c:v>May</c:v>
                </c:pt>
                <c:pt idx="1">
                  <c:v>Jan</c:v>
                </c:pt>
                <c:pt idx="2">
                  <c:v>Jul</c:v>
                </c:pt>
                <c:pt idx="3">
                  <c:v>Jun</c:v>
                </c:pt>
                <c:pt idx="4">
                  <c:v>Apr</c:v>
                </c:pt>
                <c:pt idx="5">
                  <c:v>Mar</c:v>
                </c:pt>
                <c:pt idx="6">
                  <c:v>Feb</c:v>
                </c:pt>
              </c:strCache>
            </c:strRef>
          </c:cat>
          <c:val>
            <c:numRef>
              <c:f>Analysis!$G$37:$G$44</c:f>
              <c:numCache>
                <c:formatCode>#,##0</c:formatCode>
                <c:ptCount val="7"/>
                <c:pt idx="0">
                  <c:v>54977556</c:v>
                </c:pt>
                <c:pt idx="1">
                  <c:v>54902022</c:v>
                </c:pt>
                <c:pt idx="2">
                  <c:v>54867498</c:v>
                </c:pt>
                <c:pt idx="3">
                  <c:v>43229995</c:v>
                </c:pt>
                <c:pt idx="4">
                  <c:v>36248497</c:v>
                </c:pt>
                <c:pt idx="5">
                  <c:v>34524085</c:v>
                </c:pt>
                <c:pt idx="6">
                  <c:v>26882350</c:v>
                </c:pt>
              </c:numCache>
            </c:numRef>
          </c:val>
          <c:smooth val="0"/>
          <c:extLst>
            <c:ext xmlns:c16="http://schemas.microsoft.com/office/drawing/2014/chart" uri="{C3380CC4-5D6E-409C-BE32-E72D297353CC}">
              <c16:uniqueId val="{00000000-A14C-4568-98BD-C0821A82E27D}"/>
            </c:ext>
          </c:extLst>
        </c:ser>
        <c:dLbls>
          <c:showLegendKey val="0"/>
          <c:showVal val="0"/>
          <c:showCatName val="0"/>
          <c:showSerName val="0"/>
          <c:showPercent val="0"/>
          <c:showBubbleSize val="0"/>
        </c:dLbls>
        <c:upDownBars>
          <c:gapWidth val="150"/>
          <c:upBars>
            <c:spPr>
              <a:solidFill>
                <a:schemeClr val="lt1"/>
              </a:solidFill>
              <a:ln w="9525">
                <a:solidFill>
                  <a:schemeClr val="lt1">
                    <a:lumMod val="95000"/>
                    <a:alpha val="54000"/>
                  </a:schemeClr>
                </a:solidFill>
              </a:ln>
              <a:effectLst/>
            </c:spPr>
          </c:upBars>
          <c:downBars>
            <c:spPr>
              <a:solidFill>
                <a:schemeClr val="dk1">
                  <a:lumMod val="75000"/>
                  <a:lumOff val="25000"/>
                </a:schemeClr>
              </a:solidFill>
              <a:ln w="9525">
                <a:solidFill>
                  <a:schemeClr val="lt1">
                    <a:lumMod val="95000"/>
                    <a:alpha val="54000"/>
                  </a:schemeClr>
                </a:solidFill>
              </a:ln>
              <a:effectLst/>
            </c:spPr>
          </c:downBars>
        </c:upDownBars>
        <c:marker val="1"/>
        <c:smooth val="0"/>
        <c:axId val="598321792"/>
        <c:axId val="648709600"/>
      </c:lineChart>
      <c:catAx>
        <c:axId val="598321792"/>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48709600"/>
        <c:crosses val="autoZero"/>
        <c:auto val="1"/>
        <c:lblAlgn val="ctr"/>
        <c:lblOffset val="100"/>
        <c:noMultiLvlLbl val="0"/>
      </c:catAx>
      <c:valAx>
        <c:axId val="648709600"/>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98321792"/>
        <c:crosses val="autoZero"/>
        <c:crossBetween val="between"/>
      </c:valAx>
      <c:spPr>
        <a:noFill/>
        <a:ln>
          <a:noFill/>
        </a:ln>
        <a:effectLst/>
      </c:spPr>
    </c:plotArea>
    <c:legend>
      <c:legendPos val="r"/>
      <c:layout>
        <c:manualLayout>
          <c:xMode val="edge"/>
          <c:yMode val="edge"/>
          <c:x val="0.82380799857644926"/>
          <c:y val="0.48219991645188498"/>
          <c:w val="0.14976578139596958"/>
          <c:h val="7.5301731861830534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02">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7.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8.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9.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s>
</file>

<file path=xl/drawings/_rels/drawing3.xml.rels><?xml version="1.0" encoding="UTF-8" standalone="yes"?>
<Relationships xmlns="http://schemas.openxmlformats.org/package/2006/relationships"><Relationship Id="rId3" Type="http://schemas.openxmlformats.org/officeDocument/2006/relationships/image" Target="../media/image3.png"/><Relationship Id="rId7" Type="http://schemas.openxmlformats.org/officeDocument/2006/relationships/chart" Target="../charts/chart11.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10.xml"/><Relationship Id="rId5" Type="http://schemas.openxmlformats.org/officeDocument/2006/relationships/chart" Target="../charts/chart9.xml"/><Relationship Id="rId4" Type="http://schemas.openxmlformats.org/officeDocument/2006/relationships/image" Target="../media/image4.svg"/></Relationships>
</file>

<file path=xl/drawings/drawing1.xml><?xml version="1.0" encoding="utf-8"?>
<xdr:wsDr xmlns:xdr="http://schemas.openxmlformats.org/drawingml/2006/spreadsheetDrawing" xmlns:a="http://schemas.openxmlformats.org/drawingml/2006/main">
  <xdr:twoCellAnchor>
    <xdr:from>
      <xdr:col>3</xdr:col>
      <xdr:colOff>289560</xdr:colOff>
      <xdr:row>0</xdr:row>
      <xdr:rowOff>0</xdr:rowOff>
    </xdr:from>
    <xdr:to>
      <xdr:col>24</xdr:col>
      <xdr:colOff>190500</xdr:colOff>
      <xdr:row>39</xdr:row>
      <xdr:rowOff>175260</xdr:rowOff>
    </xdr:to>
    <xdr:sp macro="" textlink="">
      <xdr:nvSpPr>
        <xdr:cNvPr id="4" name="Rectangle 3">
          <a:extLst>
            <a:ext uri="{FF2B5EF4-FFF2-40B4-BE49-F238E27FC236}">
              <a16:creationId xmlns:a16="http://schemas.microsoft.com/office/drawing/2014/main" id="{F4596CDE-E8DA-4014-97AA-A8ABEC4E9004}"/>
            </a:ext>
          </a:extLst>
        </xdr:cNvPr>
        <xdr:cNvSpPr/>
      </xdr:nvSpPr>
      <xdr:spPr>
        <a:xfrm>
          <a:off x="2131060" y="0"/>
          <a:ext cx="12791440" cy="7192010"/>
        </a:xfrm>
        <a:prstGeom prst="rect">
          <a:avLst/>
        </a:prstGeom>
        <a:solidFill>
          <a:schemeClr val="tx2">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0</xdr:row>
      <xdr:rowOff>0</xdr:rowOff>
    </xdr:from>
    <xdr:to>
      <xdr:col>3</xdr:col>
      <xdr:colOff>342900</xdr:colOff>
      <xdr:row>39</xdr:row>
      <xdr:rowOff>175260</xdr:rowOff>
    </xdr:to>
    <xdr:sp macro="" textlink="">
      <xdr:nvSpPr>
        <xdr:cNvPr id="2" name="Rectangle 1">
          <a:extLst>
            <a:ext uri="{FF2B5EF4-FFF2-40B4-BE49-F238E27FC236}">
              <a16:creationId xmlns:a16="http://schemas.microsoft.com/office/drawing/2014/main" id="{8E296765-61EA-E793-7CCD-6D45944BBBCF}"/>
            </a:ext>
          </a:extLst>
        </xdr:cNvPr>
        <xdr:cNvSpPr/>
      </xdr:nvSpPr>
      <xdr:spPr>
        <a:xfrm>
          <a:off x="0" y="0"/>
          <a:ext cx="2171700" cy="7307580"/>
        </a:xfrm>
        <a:prstGeom prst="rect">
          <a:avLst/>
        </a:prstGeom>
        <a:solidFill>
          <a:schemeClr val="tx2">
            <a:lumMod val="75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3</xdr:row>
      <xdr:rowOff>83820</xdr:rowOff>
    </xdr:from>
    <xdr:to>
      <xdr:col>2</xdr:col>
      <xdr:colOff>594360</xdr:colOff>
      <xdr:row>6</xdr:row>
      <xdr:rowOff>0</xdr:rowOff>
    </xdr:to>
    <xdr:sp macro="" textlink="pivots!G4">
      <xdr:nvSpPr>
        <xdr:cNvPr id="5" name="TextBox 4">
          <a:extLst>
            <a:ext uri="{FF2B5EF4-FFF2-40B4-BE49-F238E27FC236}">
              <a16:creationId xmlns:a16="http://schemas.microsoft.com/office/drawing/2014/main" id="{2AFB0D7F-6F64-8671-46CA-B4C92FC3FF66}"/>
            </a:ext>
          </a:extLst>
        </xdr:cNvPr>
        <xdr:cNvSpPr txBox="1"/>
      </xdr:nvSpPr>
      <xdr:spPr>
        <a:xfrm>
          <a:off x="0" y="632460"/>
          <a:ext cx="1813560" cy="464820"/>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51D7DCBC-FCED-470E-AAE7-2482275D5B89}" type="TxLink">
            <a:rPr lang="en-US" sz="1600" b="0" i="0" u="none" strike="noStrike">
              <a:gradFill flip="none" rotWithShape="1">
                <a:gsLst>
                  <a:gs pos="0">
                    <a:schemeClr val="bg1">
                      <a:lumMod val="95000"/>
                    </a:schemeClr>
                  </a:gs>
                  <a:gs pos="100000">
                    <a:schemeClr val="tx1">
                      <a:lumMod val="85000"/>
                      <a:lumOff val="15000"/>
                    </a:schemeClr>
                  </a:gs>
                </a:gsLst>
                <a:lin ang="5400000" scaled="1"/>
                <a:tileRect/>
              </a:gradFill>
              <a:effectLst>
                <a:outerShdw blurRad="50800" dist="38100" dir="2700000" algn="tl" rotWithShape="0">
                  <a:prstClr val="black">
                    <a:alpha val="40000"/>
                  </a:prstClr>
                </a:outerShdw>
              </a:effectLst>
              <a:latin typeface="Aptos Display" panose="020B0004020202020204" pitchFamily="34" charset="0"/>
              <a:ea typeface="Calibri"/>
              <a:cs typeface="Calibri"/>
            </a:rPr>
            <a:pPr algn="ctr"/>
            <a:t> ₹ 30,56,32,003.00 </a:t>
          </a:fld>
          <a:endParaRPr lang="en-IN" sz="1600">
            <a:gradFill flip="none" rotWithShape="1">
              <a:gsLst>
                <a:gs pos="0">
                  <a:schemeClr val="bg1">
                    <a:lumMod val="95000"/>
                  </a:schemeClr>
                </a:gs>
                <a:gs pos="100000">
                  <a:schemeClr val="tx1">
                    <a:lumMod val="85000"/>
                    <a:lumOff val="15000"/>
                  </a:schemeClr>
                </a:gs>
              </a:gsLst>
              <a:lin ang="5400000" scaled="1"/>
              <a:tileRect/>
            </a:gradFill>
            <a:effectLst>
              <a:outerShdw blurRad="50800" dist="38100" dir="2700000" algn="tl" rotWithShape="0">
                <a:prstClr val="black">
                  <a:alpha val="40000"/>
                </a:prstClr>
              </a:outerShdw>
            </a:effectLst>
            <a:latin typeface="Aptos Display" panose="020B0004020202020204" pitchFamily="34" charset="0"/>
          </a:endParaRPr>
        </a:p>
      </xdr:txBody>
    </xdr:sp>
    <xdr:clientData/>
  </xdr:twoCellAnchor>
  <xdr:twoCellAnchor>
    <xdr:from>
      <xdr:col>0</xdr:col>
      <xdr:colOff>0</xdr:colOff>
      <xdr:row>14</xdr:row>
      <xdr:rowOff>30480</xdr:rowOff>
    </xdr:from>
    <xdr:to>
      <xdr:col>0</xdr:col>
      <xdr:colOff>500743</xdr:colOff>
      <xdr:row>16</xdr:row>
      <xdr:rowOff>0</xdr:rowOff>
    </xdr:to>
    <xdr:sp macro="" textlink="pivots!J4">
      <xdr:nvSpPr>
        <xdr:cNvPr id="6" name="TextBox 5">
          <a:extLst>
            <a:ext uri="{FF2B5EF4-FFF2-40B4-BE49-F238E27FC236}">
              <a16:creationId xmlns:a16="http://schemas.microsoft.com/office/drawing/2014/main" id="{11871EDE-D116-4A32-9FA1-BDD723B01129}"/>
            </a:ext>
          </a:extLst>
        </xdr:cNvPr>
        <xdr:cNvSpPr txBox="1"/>
      </xdr:nvSpPr>
      <xdr:spPr>
        <a:xfrm>
          <a:off x="0" y="2590800"/>
          <a:ext cx="500743" cy="335280"/>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5ABBB823-D048-4096-804D-55B2B3B99818}" type="TxLink">
            <a:rPr lang="en-US" sz="1600" b="0" i="0" u="none" strike="noStrike">
              <a:gradFill flip="none" rotWithShape="1">
                <a:gsLst>
                  <a:gs pos="0">
                    <a:schemeClr val="bg1">
                      <a:lumMod val="95000"/>
                    </a:schemeClr>
                  </a:gs>
                  <a:gs pos="100000">
                    <a:schemeClr val="tx1">
                      <a:lumMod val="85000"/>
                      <a:lumOff val="15000"/>
                    </a:schemeClr>
                  </a:gs>
                </a:gsLst>
                <a:lin ang="5400000" scaled="1"/>
                <a:tileRect/>
              </a:gradFill>
              <a:effectLst>
                <a:outerShdw blurRad="50800" dist="38100" dir="2700000" algn="tl" rotWithShape="0">
                  <a:prstClr val="black">
                    <a:alpha val="40000"/>
                  </a:prstClr>
                </a:outerShdw>
              </a:effectLst>
              <a:latin typeface="Aptos Display" panose="020B0004020202020204" pitchFamily="34" charset="0"/>
              <a:ea typeface="Calibri"/>
              <a:cs typeface="Calibri"/>
            </a:rPr>
            <a:pPr marL="0" indent="0" algn="ctr"/>
            <a:t>5</a:t>
          </a:fld>
          <a:endParaRPr lang="en-IN" sz="1600" b="0" i="0" u="none" strike="noStrike">
            <a:gradFill flip="none" rotWithShape="1">
              <a:gsLst>
                <a:gs pos="0">
                  <a:schemeClr val="bg1">
                    <a:lumMod val="95000"/>
                  </a:schemeClr>
                </a:gs>
                <a:gs pos="100000">
                  <a:schemeClr val="tx1">
                    <a:lumMod val="85000"/>
                    <a:lumOff val="15000"/>
                  </a:schemeClr>
                </a:gs>
              </a:gsLst>
              <a:lin ang="5400000" scaled="1"/>
              <a:tileRect/>
            </a:gradFill>
            <a:effectLst>
              <a:outerShdw blurRad="50800" dist="38100" dir="2700000" algn="tl" rotWithShape="0">
                <a:prstClr val="black">
                  <a:alpha val="40000"/>
                </a:prstClr>
              </a:outerShdw>
            </a:effectLst>
            <a:latin typeface="Aptos Display" panose="020B0004020202020204" pitchFamily="34" charset="0"/>
            <a:ea typeface="Calibri"/>
            <a:cs typeface="Calibri"/>
          </a:endParaRPr>
        </a:p>
      </xdr:txBody>
    </xdr:sp>
    <xdr:clientData/>
  </xdr:twoCellAnchor>
  <xdr:twoCellAnchor>
    <xdr:from>
      <xdr:col>0</xdr:col>
      <xdr:colOff>0</xdr:colOff>
      <xdr:row>10</xdr:row>
      <xdr:rowOff>76200</xdr:rowOff>
    </xdr:from>
    <xdr:to>
      <xdr:col>1</xdr:col>
      <xdr:colOff>447403</xdr:colOff>
      <xdr:row>12</xdr:row>
      <xdr:rowOff>38100</xdr:rowOff>
    </xdr:to>
    <xdr:sp macro="" textlink="pivots!I4">
      <xdr:nvSpPr>
        <xdr:cNvPr id="7" name="TextBox 6">
          <a:extLst>
            <a:ext uri="{FF2B5EF4-FFF2-40B4-BE49-F238E27FC236}">
              <a16:creationId xmlns:a16="http://schemas.microsoft.com/office/drawing/2014/main" id="{6F3A9CBD-E3C6-46F9-8BCD-8E729AF1B83C}"/>
            </a:ext>
          </a:extLst>
        </xdr:cNvPr>
        <xdr:cNvSpPr txBox="1"/>
      </xdr:nvSpPr>
      <xdr:spPr>
        <a:xfrm>
          <a:off x="0" y="1905000"/>
          <a:ext cx="1057003" cy="327660"/>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49A27957-4873-43A1-A6FB-654004791755}" type="TxLink">
            <a:rPr lang="en-US" sz="1600" b="0" i="0" u="none" strike="noStrike">
              <a:gradFill flip="none" rotWithShape="1">
                <a:gsLst>
                  <a:gs pos="0">
                    <a:schemeClr val="bg1">
                      <a:lumMod val="95000"/>
                    </a:schemeClr>
                  </a:gs>
                  <a:gs pos="100000">
                    <a:schemeClr val="tx1">
                      <a:lumMod val="85000"/>
                      <a:lumOff val="15000"/>
                    </a:schemeClr>
                  </a:gs>
                </a:gsLst>
                <a:lin ang="5400000" scaled="1"/>
                <a:tileRect/>
              </a:gradFill>
              <a:effectLst>
                <a:outerShdw blurRad="50800" dist="38100" dir="2700000" algn="tl" rotWithShape="0">
                  <a:prstClr val="black">
                    <a:alpha val="40000"/>
                  </a:prstClr>
                </a:outerShdw>
              </a:effectLst>
              <a:latin typeface="Aptos Display" panose="020B0004020202020204" pitchFamily="34" charset="0"/>
              <a:ea typeface="Calibri"/>
              <a:cs typeface="Calibri"/>
            </a:rPr>
            <a:pPr marL="0" indent="0" algn="ctr"/>
            <a:t>29562.9</a:t>
          </a:fld>
          <a:endParaRPr lang="en-IN" sz="1600" b="0" i="0" u="none" strike="noStrike">
            <a:gradFill flip="none" rotWithShape="1">
              <a:gsLst>
                <a:gs pos="0">
                  <a:schemeClr val="bg1">
                    <a:lumMod val="95000"/>
                  </a:schemeClr>
                </a:gs>
                <a:gs pos="100000">
                  <a:schemeClr val="tx1">
                    <a:lumMod val="85000"/>
                    <a:lumOff val="15000"/>
                  </a:schemeClr>
                </a:gs>
              </a:gsLst>
              <a:lin ang="5400000" scaled="1"/>
              <a:tileRect/>
            </a:gradFill>
            <a:effectLst>
              <a:outerShdw blurRad="50800" dist="38100" dir="2700000" algn="tl" rotWithShape="0">
                <a:prstClr val="black">
                  <a:alpha val="40000"/>
                </a:prstClr>
              </a:outerShdw>
            </a:effectLst>
            <a:latin typeface="Aptos Display" panose="020B0004020202020204" pitchFamily="34" charset="0"/>
            <a:ea typeface="Calibri"/>
            <a:cs typeface="Calibri"/>
          </a:endParaRPr>
        </a:p>
      </xdr:txBody>
    </xdr:sp>
    <xdr:clientData/>
  </xdr:twoCellAnchor>
  <xdr:twoCellAnchor>
    <xdr:from>
      <xdr:col>0</xdr:col>
      <xdr:colOff>1</xdr:colOff>
      <xdr:row>6</xdr:row>
      <xdr:rowOff>152400</xdr:rowOff>
    </xdr:from>
    <xdr:to>
      <xdr:col>1</xdr:col>
      <xdr:colOff>358141</xdr:colOff>
      <xdr:row>8</xdr:row>
      <xdr:rowOff>152400</xdr:rowOff>
    </xdr:to>
    <xdr:sp macro="" textlink="pivots!H4">
      <xdr:nvSpPr>
        <xdr:cNvPr id="8" name="TextBox 7">
          <a:extLst>
            <a:ext uri="{FF2B5EF4-FFF2-40B4-BE49-F238E27FC236}">
              <a16:creationId xmlns:a16="http://schemas.microsoft.com/office/drawing/2014/main" id="{3B7AC6B5-8919-469A-8713-0BBF8E1436B0}"/>
            </a:ext>
          </a:extLst>
        </xdr:cNvPr>
        <xdr:cNvSpPr txBox="1"/>
      </xdr:nvSpPr>
      <xdr:spPr>
        <a:xfrm>
          <a:off x="1" y="1249680"/>
          <a:ext cx="967740" cy="365760"/>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75B07D59-91E0-4354-A87D-577D87AA44A5}" type="TxLink">
            <a:rPr lang="en-US" sz="1600" b="0" i="0" u="none" strike="noStrike">
              <a:gradFill flip="none" rotWithShape="1">
                <a:gsLst>
                  <a:gs pos="0">
                    <a:schemeClr val="bg1">
                      <a:lumMod val="95000"/>
                    </a:schemeClr>
                  </a:gs>
                  <a:gs pos="100000">
                    <a:schemeClr val="tx1">
                      <a:lumMod val="85000"/>
                      <a:lumOff val="15000"/>
                    </a:schemeClr>
                  </a:gs>
                </a:gsLst>
                <a:lin ang="5400000" scaled="1"/>
                <a:tileRect/>
              </a:gradFill>
              <a:effectLst>
                <a:outerShdw blurRad="50800" dist="38100" dir="2700000" algn="tl" rotWithShape="0">
                  <a:prstClr val="black">
                    <a:alpha val="40000"/>
                  </a:prstClr>
                </a:outerShdw>
              </a:effectLst>
              <a:latin typeface="Aptos Display" panose="020B0004020202020204" pitchFamily="34" charset="0"/>
              <a:ea typeface="Calibri"/>
              <a:cs typeface="Calibri"/>
            </a:rPr>
            <a:pPr marL="0" indent="0" algn="ctr"/>
            <a:t>10,141</a:t>
          </a:fld>
          <a:endParaRPr lang="en-IN" sz="1600" b="0" i="0" u="none" strike="noStrike">
            <a:gradFill flip="none" rotWithShape="1">
              <a:gsLst>
                <a:gs pos="0">
                  <a:schemeClr val="bg1">
                    <a:lumMod val="95000"/>
                  </a:schemeClr>
                </a:gs>
                <a:gs pos="100000">
                  <a:schemeClr val="tx1">
                    <a:lumMod val="85000"/>
                    <a:lumOff val="15000"/>
                  </a:schemeClr>
                </a:gs>
              </a:gsLst>
              <a:lin ang="5400000" scaled="1"/>
              <a:tileRect/>
            </a:gradFill>
            <a:effectLst>
              <a:outerShdw blurRad="50800" dist="38100" dir="2700000" algn="tl" rotWithShape="0">
                <a:prstClr val="black">
                  <a:alpha val="40000"/>
                </a:prstClr>
              </a:outerShdw>
            </a:effectLst>
            <a:latin typeface="Aptos Display" panose="020B0004020202020204" pitchFamily="34" charset="0"/>
            <a:ea typeface="Calibri"/>
            <a:cs typeface="Calibri"/>
          </a:endParaRPr>
        </a:p>
      </xdr:txBody>
    </xdr:sp>
    <xdr:clientData/>
  </xdr:twoCellAnchor>
  <xdr:twoCellAnchor>
    <xdr:from>
      <xdr:col>0</xdr:col>
      <xdr:colOff>0</xdr:colOff>
      <xdr:row>1</xdr:row>
      <xdr:rowOff>129540</xdr:rowOff>
    </xdr:from>
    <xdr:to>
      <xdr:col>2</xdr:col>
      <xdr:colOff>320040</xdr:colOff>
      <xdr:row>3</xdr:row>
      <xdr:rowOff>144780</xdr:rowOff>
    </xdr:to>
    <xdr:sp macro="" textlink="">
      <xdr:nvSpPr>
        <xdr:cNvPr id="10" name="TextBox 9">
          <a:extLst>
            <a:ext uri="{FF2B5EF4-FFF2-40B4-BE49-F238E27FC236}">
              <a16:creationId xmlns:a16="http://schemas.microsoft.com/office/drawing/2014/main" id="{61E43DF9-8568-4F97-A378-FA14255E7123}"/>
            </a:ext>
          </a:extLst>
        </xdr:cNvPr>
        <xdr:cNvSpPr txBox="1"/>
      </xdr:nvSpPr>
      <xdr:spPr>
        <a:xfrm>
          <a:off x="0" y="312420"/>
          <a:ext cx="1539240" cy="381000"/>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0" i="0" u="none" strike="noStrike">
              <a:gradFill flip="none" rotWithShape="1">
                <a:gsLst>
                  <a:gs pos="0">
                    <a:schemeClr val="bg1">
                      <a:lumMod val="95000"/>
                    </a:schemeClr>
                  </a:gs>
                  <a:gs pos="100000">
                    <a:schemeClr val="tx1">
                      <a:lumMod val="85000"/>
                      <a:lumOff val="15000"/>
                    </a:schemeClr>
                  </a:gs>
                </a:gsLst>
                <a:lin ang="5400000" scaled="1"/>
                <a:tileRect/>
              </a:gradFill>
              <a:effectLst>
                <a:outerShdw blurRad="50800" dist="38100" dir="2700000" algn="tl" rotWithShape="0">
                  <a:prstClr val="black">
                    <a:alpha val="40000"/>
                  </a:prstClr>
                </a:outerShdw>
              </a:effectLst>
              <a:latin typeface="Aptos Display" panose="020B0004020202020204" pitchFamily="34" charset="0"/>
              <a:ea typeface="Calibri"/>
              <a:cs typeface="Calibri"/>
            </a:rPr>
            <a:t>💰 Stock</a:t>
          </a:r>
          <a:r>
            <a:rPr lang="en-US" sz="1600" b="0" i="0" u="none" strike="noStrike" baseline="0">
              <a:gradFill flip="none" rotWithShape="1">
                <a:gsLst>
                  <a:gs pos="0">
                    <a:schemeClr val="bg1">
                      <a:lumMod val="95000"/>
                    </a:schemeClr>
                  </a:gs>
                  <a:gs pos="100000">
                    <a:schemeClr val="tx1">
                      <a:lumMod val="85000"/>
                      <a:lumOff val="15000"/>
                    </a:schemeClr>
                  </a:gs>
                </a:gsLst>
                <a:lin ang="5400000" scaled="1"/>
                <a:tileRect/>
              </a:gradFill>
              <a:effectLst>
                <a:outerShdw blurRad="50800" dist="38100" dir="2700000" algn="tl" rotWithShape="0">
                  <a:prstClr val="black">
                    <a:alpha val="40000"/>
                  </a:prstClr>
                </a:outerShdw>
              </a:effectLst>
              <a:latin typeface="Aptos Display" panose="020B0004020202020204" pitchFamily="34" charset="0"/>
              <a:ea typeface="Calibri"/>
              <a:cs typeface="Calibri"/>
            </a:rPr>
            <a:t> Value</a:t>
          </a:r>
          <a:endParaRPr lang="en-US" sz="1600" b="0" i="0" u="none" strike="noStrike">
            <a:gradFill flip="none" rotWithShape="1">
              <a:gsLst>
                <a:gs pos="0">
                  <a:schemeClr val="bg1">
                    <a:lumMod val="95000"/>
                  </a:schemeClr>
                </a:gs>
                <a:gs pos="100000">
                  <a:schemeClr val="tx1">
                    <a:lumMod val="85000"/>
                    <a:lumOff val="15000"/>
                  </a:schemeClr>
                </a:gs>
              </a:gsLst>
              <a:lin ang="5400000" scaled="1"/>
              <a:tileRect/>
            </a:gradFill>
            <a:effectLst>
              <a:outerShdw blurRad="50800" dist="38100" dir="2700000" algn="tl" rotWithShape="0">
                <a:prstClr val="black">
                  <a:alpha val="40000"/>
                </a:prstClr>
              </a:outerShdw>
            </a:effectLst>
            <a:latin typeface="Aptos Display" panose="020B0004020202020204" pitchFamily="34" charset="0"/>
            <a:ea typeface="Calibri"/>
            <a:cs typeface="Calibri"/>
          </a:endParaRPr>
        </a:p>
      </xdr:txBody>
    </xdr:sp>
    <xdr:clientData/>
  </xdr:twoCellAnchor>
  <xdr:twoCellAnchor>
    <xdr:from>
      <xdr:col>0</xdr:col>
      <xdr:colOff>1</xdr:colOff>
      <xdr:row>5</xdr:row>
      <xdr:rowOff>76200</xdr:rowOff>
    </xdr:from>
    <xdr:to>
      <xdr:col>1</xdr:col>
      <xdr:colOff>594361</xdr:colOff>
      <xdr:row>7</xdr:row>
      <xdr:rowOff>60960</xdr:rowOff>
    </xdr:to>
    <xdr:sp macro="" textlink="">
      <xdr:nvSpPr>
        <xdr:cNvPr id="11" name="TextBox 10">
          <a:extLst>
            <a:ext uri="{FF2B5EF4-FFF2-40B4-BE49-F238E27FC236}">
              <a16:creationId xmlns:a16="http://schemas.microsoft.com/office/drawing/2014/main" id="{83E81F8D-E392-96CA-EDCF-9D68F60CA20D}"/>
            </a:ext>
          </a:extLst>
        </xdr:cNvPr>
        <xdr:cNvSpPr txBox="1"/>
      </xdr:nvSpPr>
      <xdr:spPr>
        <a:xfrm>
          <a:off x="1" y="990600"/>
          <a:ext cx="1203960" cy="350520"/>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600" b="0" i="0" u="none" strike="noStrike">
              <a:gradFill flip="none" rotWithShape="1">
                <a:gsLst>
                  <a:gs pos="0">
                    <a:schemeClr val="bg1">
                      <a:lumMod val="95000"/>
                    </a:schemeClr>
                  </a:gs>
                  <a:gs pos="100000">
                    <a:schemeClr val="tx1">
                      <a:lumMod val="85000"/>
                      <a:lumOff val="15000"/>
                    </a:schemeClr>
                  </a:gs>
                </a:gsLst>
                <a:lin ang="5400000" scaled="1"/>
                <a:tileRect/>
              </a:gradFill>
              <a:effectLst>
                <a:outerShdw blurRad="50800" dist="38100" dir="2700000" algn="tl" rotWithShape="0">
                  <a:prstClr val="black">
                    <a:alpha val="40000"/>
                  </a:prstClr>
                </a:outerShdw>
              </a:effectLst>
              <a:latin typeface="Aptos Display" panose="020B0004020202020204" pitchFamily="34" charset="0"/>
              <a:ea typeface="Calibri"/>
              <a:cs typeface="Calibri"/>
            </a:rPr>
            <a:t>👕</a:t>
          </a:r>
          <a:r>
            <a:rPr lang="en-IN" sz="1600" b="0" i="0" u="none" strike="noStrike">
              <a:gradFill flip="none" rotWithShape="1">
                <a:gsLst>
                  <a:gs pos="0">
                    <a:schemeClr val="bg1">
                      <a:lumMod val="95000"/>
                    </a:schemeClr>
                  </a:gs>
                  <a:gs pos="100000">
                    <a:schemeClr val="tx1">
                      <a:lumMod val="85000"/>
                      <a:lumOff val="15000"/>
                    </a:schemeClr>
                  </a:gs>
                </a:gsLst>
                <a:lin ang="5400000" scaled="1"/>
                <a:tileRect/>
              </a:gradFill>
              <a:effectLst>
                <a:outerShdw blurRad="50800" dist="38100" dir="2700000" algn="tl" rotWithShape="0">
                  <a:prstClr val="black">
                    <a:alpha val="40000"/>
                  </a:prstClr>
                </a:outerShdw>
              </a:effectLst>
              <a:latin typeface="Aptos Display" panose="020B0004020202020204" pitchFamily="34" charset="0"/>
              <a:ea typeface="Calibri"/>
              <a:cs typeface="Calibri"/>
            </a:rPr>
            <a:t>Quantity</a:t>
          </a:r>
        </a:p>
      </xdr:txBody>
    </xdr:sp>
    <xdr:clientData/>
  </xdr:twoCellAnchor>
  <xdr:twoCellAnchor>
    <xdr:from>
      <xdr:col>0</xdr:col>
      <xdr:colOff>0</xdr:colOff>
      <xdr:row>8</xdr:row>
      <xdr:rowOff>160020</xdr:rowOff>
    </xdr:from>
    <xdr:to>
      <xdr:col>2</xdr:col>
      <xdr:colOff>411480</xdr:colOff>
      <xdr:row>11</xdr:row>
      <xdr:rowOff>15240</xdr:rowOff>
    </xdr:to>
    <xdr:sp macro="" textlink="">
      <xdr:nvSpPr>
        <xdr:cNvPr id="12" name="TextBox 11">
          <a:extLst>
            <a:ext uri="{FF2B5EF4-FFF2-40B4-BE49-F238E27FC236}">
              <a16:creationId xmlns:a16="http://schemas.microsoft.com/office/drawing/2014/main" id="{36B24983-E2D6-4A2C-A85F-6090184C31DC}"/>
            </a:ext>
          </a:extLst>
        </xdr:cNvPr>
        <xdr:cNvSpPr txBox="1"/>
      </xdr:nvSpPr>
      <xdr:spPr>
        <a:xfrm>
          <a:off x="0" y="1623060"/>
          <a:ext cx="1630680" cy="403860"/>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600" b="0" i="0" u="none" strike="noStrike">
              <a:gradFill flip="none" rotWithShape="1">
                <a:gsLst>
                  <a:gs pos="0">
                    <a:schemeClr val="bg1">
                      <a:lumMod val="95000"/>
                    </a:schemeClr>
                  </a:gs>
                  <a:gs pos="100000">
                    <a:schemeClr val="tx1">
                      <a:lumMod val="85000"/>
                      <a:lumOff val="15000"/>
                    </a:schemeClr>
                  </a:gs>
                </a:gsLst>
                <a:lin ang="5400000" scaled="1"/>
                <a:tileRect/>
              </a:gradFill>
              <a:effectLst>
                <a:outerShdw blurRad="50800" dist="38100" dir="2700000" algn="tl" rotWithShape="0">
                  <a:prstClr val="black">
                    <a:alpha val="40000"/>
                  </a:prstClr>
                </a:outerShdw>
              </a:effectLst>
              <a:latin typeface="Aptos Display" panose="020B0004020202020204" pitchFamily="34" charset="0"/>
              <a:ea typeface="Calibri"/>
              <a:cs typeface="Calibri"/>
            </a:rPr>
            <a:t>⭐Avg.Unit</a:t>
          </a:r>
          <a:r>
            <a:rPr lang="en-US" sz="1600" b="0" i="0" u="none" strike="noStrike" baseline="0">
              <a:gradFill flip="none" rotWithShape="1">
                <a:gsLst>
                  <a:gs pos="0">
                    <a:schemeClr val="bg1">
                      <a:lumMod val="95000"/>
                    </a:schemeClr>
                  </a:gs>
                  <a:gs pos="100000">
                    <a:schemeClr val="tx1">
                      <a:lumMod val="85000"/>
                      <a:lumOff val="15000"/>
                    </a:schemeClr>
                  </a:gs>
                </a:gsLst>
                <a:lin ang="5400000" scaled="1"/>
                <a:tileRect/>
              </a:gradFill>
              <a:effectLst>
                <a:outerShdw blurRad="50800" dist="38100" dir="2700000" algn="tl" rotWithShape="0">
                  <a:prstClr val="black">
                    <a:alpha val="40000"/>
                  </a:prstClr>
                </a:outerShdw>
              </a:effectLst>
              <a:latin typeface="Aptos Display" panose="020B0004020202020204" pitchFamily="34" charset="0"/>
              <a:ea typeface="Calibri"/>
              <a:cs typeface="Calibri"/>
            </a:rPr>
            <a:t> Price</a:t>
          </a:r>
          <a:endParaRPr lang="en-US" sz="1600" b="0" i="0" u="none" strike="noStrike">
            <a:gradFill flip="none" rotWithShape="1">
              <a:gsLst>
                <a:gs pos="0">
                  <a:schemeClr val="bg1">
                    <a:lumMod val="95000"/>
                  </a:schemeClr>
                </a:gs>
                <a:gs pos="100000">
                  <a:schemeClr val="tx1">
                    <a:lumMod val="85000"/>
                    <a:lumOff val="15000"/>
                  </a:schemeClr>
                </a:gs>
              </a:gsLst>
              <a:lin ang="5400000" scaled="1"/>
              <a:tileRect/>
            </a:gradFill>
            <a:effectLst>
              <a:outerShdw blurRad="50800" dist="38100" dir="2700000" algn="tl" rotWithShape="0">
                <a:prstClr val="black">
                  <a:alpha val="40000"/>
                </a:prstClr>
              </a:outerShdw>
            </a:effectLst>
            <a:latin typeface="Aptos Display" panose="020B0004020202020204" pitchFamily="34" charset="0"/>
            <a:ea typeface="Calibri"/>
            <a:cs typeface="Calibri"/>
          </a:endParaRPr>
        </a:p>
      </xdr:txBody>
    </xdr:sp>
    <xdr:clientData/>
  </xdr:twoCellAnchor>
  <xdr:twoCellAnchor>
    <xdr:from>
      <xdr:col>0</xdr:col>
      <xdr:colOff>0</xdr:colOff>
      <xdr:row>12</xdr:row>
      <xdr:rowOff>60960</xdr:rowOff>
    </xdr:from>
    <xdr:to>
      <xdr:col>2</xdr:col>
      <xdr:colOff>66403</xdr:colOff>
      <xdr:row>14</xdr:row>
      <xdr:rowOff>53340</xdr:rowOff>
    </xdr:to>
    <xdr:sp macro="" textlink="">
      <xdr:nvSpPr>
        <xdr:cNvPr id="13" name="TextBox 12">
          <a:extLst>
            <a:ext uri="{FF2B5EF4-FFF2-40B4-BE49-F238E27FC236}">
              <a16:creationId xmlns:a16="http://schemas.microsoft.com/office/drawing/2014/main" id="{9362972B-18AB-4523-A894-864C50D08308}"/>
            </a:ext>
          </a:extLst>
        </xdr:cNvPr>
        <xdr:cNvSpPr txBox="1"/>
      </xdr:nvSpPr>
      <xdr:spPr>
        <a:xfrm>
          <a:off x="0" y="2255520"/>
          <a:ext cx="1285603" cy="358140"/>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600" b="0" i="0" u="none" strike="noStrike">
              <a:gradFill flip="none" rotWithShape="1">
                <a:gsLst>
                  <a:gs pos="0">
                    <a:schemeClr val="bg1">
                      <a:lumMod val="95000"/>
                    </a:schemeClr>
                  </a:gs>
                  <a:gs pos="100000">
                    <a:schemeClr val="tx1">
                      <a:lumMod val="85000"/>
                      <a:lumOff val="15000"/>
                    </a:schemeClr>
                  </a:gs>
                </a:gsLst>
                <a:lin ang="5400000" scaled="1"/>
                <a:tileRect/>
              </a:gradFill>
              <a:effectLst>
                <a:outerShdw blurRad="50800" dist="38100" dir="2700000" algn="tl" rotWithShape="0">
                  <a:prstClr val="black">
                    <a:alpha val="40000"/>
                  </a:prstClr>
                </a:outerShdw>
              </a:effectLst>
              <a:latin typeface="Aptos Display" panose="020B0004020202020204" pitchFamily="34" charset="0"/>
              <a:ea typeface="Calibri"/>
              <a:cs typeface="Calibri"/>
            </a:rPr>
            <a:t>👕Suppliers</a:t>
          </a:r>
        </a:p>
      </xdr:txBody>
    </xdr:sp>
    <xdr:clientData/>
  </xdr:twoCellAnchor>
  <xdr:twoCellAnchor>
    <xdr:from>
      <xdr:col>3</xdr:col>
      <xdr:colOff>602402</xdr:colOff>
      <xdr:row>1</xdr:row>
      <xdr:rowOff>111760</xdr:rowOff>
    </xdr:from>
    <xdr:to>
      <xdr:col>10</xdr:col>
      <xdr:colOff>232834</xdr:colOff>
      <xdr:row>17</xdr:row>
      <xdr:rowOff>74084</xdr:rowOff>
    </xdr:to>
    <xdr:graphicFrame macro="">
      <xdr:nvGraphicFramePr>
        <xdr:cNvPr id="14" name="Chart 13">
          <a:extLst>
            <a:ext uri="{FF2B5EF4-FFF2-40B4-BE49-F238E27FC236}">
              <a16:creationId xmlns:a16="http://schemas.microsoft.com/office/drawing/2014/main" id="{339507FF-241E-4C4C-8190-D6E7724E88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455084</xdr:colOff>
      <xdr:row>1</xdr:row>
      <xdr:rowOff>140249</xdr:rowOff>
    </xdr:from>
    <xdr:to>
      <xdr:col>17</xdr:col>
      <xdr:colOff>226979</xdr:colOff>
      <xdr:row>17</xdr:row>
      <xdr:rowOff>79713</xdr:rowOff>
    </xdr:to>
    <xdr:graphicFrame macro="">
      <xdr:nvGraphicFramePr>
        <xdr:cNvPr id="15" name="Chart 14">
          <a:extLst>
            <a:ext uri="{FF2B5EF4-FFF2-40B4-BE49-F238E27FC236}">
              <a16:creationId xmlns:a16="http://schemas.microsoft.com/office/drawing/2014/main" id="{0F5EE153-44DD-4E20-BAF8-D0E4C87FB0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395393</xdr:colOff>
      <xdr:row>1</xdr:row>
      <xdr:rowOff>148166</xdr:rowOff>
    </xdr:from>
    <xdr:to>
      <xdr:col>24</xdr:col>
      <xdr:colOff>31749</xdr:colOff>
      <xdr:row>17</xdr:row>
      <xdr:rowOff>105833</xdr:rowOff>
    </xdr:to>
    <xdr:graphicFrame macro="">
      <xdr:nvGraphicFramePr>
        <xdr:cNvPr id="16" name="Chart 15">
          <a:extLst>
            <a:ext uri="{FF2B5EF4-FFF2-40B4-BE49-F238E27FC236}">
              <a16:creationId xmlns:a16="http://schemas.microsoft.com/office/drawing/2014/main" id="{34BBF9DE-DBD2-4193-A00E-B352951FD9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202775</xdr:colOff>
      <xdr:row>20</xdr:row>
      <xdr:rowOff>74084</xdr:rowOff>
    </xdr:from>
    <xdr:to>
      <xdr:col>13</xdr:col>
      <xdr:colOff>285751</xdr:colOff>
      <xdr:row>36</xdr:row>
      <xdr:rowOff>52917</xdr:rowOff>
    </xdr:to>
    <xdr:graphicFrame macro="">
      <xdr:nvGraphicFramePr>
        <xdr:cNvPr id="17" name="Chart 16">
          <a:extLst>
            <a:ext uri="{FF2B5EF4-FFF2-40B4-BE49-F238E27FC236}">
              <a16:creationId xmlns:a16="http://schemas.microsoft.com/office/drawing/2014/main" id="{4099AE69-95ED-479F-A4F3-6199D0F581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469476</xdr:colOff>
      <xdr:row>20</xdr:row>
      <xdr:rowOff>42333</xdr:rowOff>
    </xdr:from>
    <xdr:to>
      <xdr:col>22</xdr:col>
      <xdr:colOff>31750</xdr:colOff>
      <xdr:row>36</xdr:row>
      <xdr:rowOff>0</xdr:rowOff>
    </xdr:to>
    <xdr:graphicFrame macro="">
      <xdr:nvGraphicFramePr>
        <xdr:cNvPr id="18" name="Chart 17">
          <a:extLst>
            <a:ext uri="{FF2B5EF4-FFF2-40B4-BE49-F238E27FC236}">
              <a16:creationId xmlns:a16="http://schemas.microsoft.com/office/drawing/2014/main" id="{41456EF0-E0E1-4C17-A4EE-42238F42AC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120953</xdr:colOff>
      <xdr:row>17</xdr:row>
      <xdr:rowOff>169334</xdr:rowOff>
    </xdr:from>
    <xdr:to>
      <xdr:col>3</xdr:col>
      <xdr:colOff>84667</xdr:colOff>
      <xdr:row>27</xdr:row>
      <xdr:rowOff>120953</xdr:rowOff>
    </xdr:to>
    <mc:AlternateContent xmlns:mc="http://schemas.openxmlformats.org/markup-compatibility/2006">
      <mc:Choice xmlns:a14="http://schemas.microsoft.com/office/drawing/2010/main" Requires="a14">
        <xdr:graphicFrame macro="">
          <xdr:nvGraphicFramePr>
            <xdr:cNvPr id="20" name="Category">
              <a:extLst>
                <a:ext uri="{FF2B5EF4-FFF2-40B4-BE49-F238E27FC236}">
                  <a16:creationId xmlns:a16="http://schemas.microsoft.com/office/drawing/2014/main" id="{C3E37800-24CD-405E-B0FD-AACF190BCF65}"/>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20953" y="3253620"/>
              <a:ext cx="1778000" cy="176590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7</xdr:col>
      <xdr:colOff>320040</xdr:colOff>
      <xdr:row>1</xdr:row>
      <xdr:rowOff>83820</xdr:rowOff>
    </xdr:from>
    <xdr:to>
      <xdr:col>14</xdr:col>
      <xdr:colOff>218100</xdr:colOff>
      <xdr:row>16</xdr:row>
      <xdr:rowOff>30480</xdr:rowOff>
    </xdr:to>
    <xdr:graphicFrame macro="">
      <xdr:nvGraphicFramePr>
        <xdr:cNvPr id="2" name="Chart 1">
          <a:extLst>
            <a:ext uri="{FF2B5EF4-FFF2-40B4-BE49-F238E27FC236}">
              <a16:creationId xmlns:a16="http://schemas.microsoft.com/office/drawing/2014/main" id="{C8B4BDAC-F092-DAD9-E8FB-31286021B6E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426720</xdr:colOff>
      <xdr:row>17</xdr:row>
      <xdr:rowOff>57150</xdr:rowOff>
    </xdr:from>
    <xdr:to>
      <xdr:col>15</xdr:col>
      <xdr:colOff>76200</xdr:colOff>
      <xdr:row>32</xdr:row>
      <xdr:rowOff>167640</xdr:rowOff>
    </xdr:to>
    <xdr:graphicFrame macro="">
      <xdr:nvGraphicFramePr>
        <xdr:cNvPr id="3" name="Chart 2">
          <a:extLst>
            <a:ext uri="{FF2B5EF4-FFF2-40B4-BE49-F238E27FC236}">
              <a16:creationId xmlns:a16="http://schemas.microsoft.com/office/drawing/2014/main" id="{744EFA58-6190-96FC-B744-7E039728A0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213360</xdr:colOff>
      <xdr:row>33</xdr:row>
      <xdr:rowOff>148590</xdr:rowOff>
    </xdr:from>
    <xdr:to>
      <xdr:col>17</xdr:col>
      <xdr:colOff>7620</xdr:colOff>
      <xdr:row>49</xdr:row>
      <xdr:rowOff>68580</xdr:rowOff>
    </xdr:to>
    <xdr:graphicFrame macro="">
      <xdr:nvGraphicFramePr>
        <xdr:cNvPr id="4" name="Chart 3">
          <a:extLst>
            <a:ext uri="{FF2B5EF4-FFF2-40B4-BE49-F238E27FC236}">
              <a16:creationId xmlns:a16="http://schemas.microsoft.com/office/drawing/2014/main" id="{3958E50C-C104-52BD-1A64-F9798D513FF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22</xdr:col>
      <xdr:colOff>586740</xdr:colOff>
      <xdr:row>35</xdr:row>
      <xdr:rowOff>106680</xdr:rowOff>
    </xdr:to>
    <xdr:sp macro="" textlink="">
      <xdr:nvSpPr>
        <xdr:cNvPr id="5" name="Rectangle 4">
          <a:extLst>
            <a:ext uri="{FF2B5EF4-FFF2-40B4-BE49-F238E27FC236}">
              <a16:creationId xmlns:a16="http://schemas.microsoft.com/office/drawing/2014/main" id="{A6F64D54-D50D-468B-91FB-187151240177}"/>
            </a:ext>
          </a:extLst>
        </xdr:cNvPr>
        <xdr:cNvSpPr/>
      </xdr:nvSpPr>
      <xdr:spPr>
        <a:xfrm>
          <a:off x="0" y="0"/>
          <a:ext cx="13997940" cy="650748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472440</xdr:colOff>
      <xdr:row>3</xdr:row>
      <xdr:rowOff>60960</xdr:rowOff>
    </xdr:from>
    <xdr:to>
      <xdr:col>4</xdr:col>
      <xdr:colOff>457200</xdr:colOff>
      <xdr:row>6</xdr:row>
      <xdr:rowOff>160020</xdr:rowOff>
    </xdr:to>
    <xdr:sp macro="" textlink="">
      <xdr:nvSpPr>
        <xdr:cNvPr id="10" name="Rectangle 9">
          <a:extLst>
            <a:ext uri="{FF2B5EF4-FFF2-40B4-BE49-F238E27FC236}">
              <a16:creationId xmlns:a16="http://schemas.microsoft.com/office/drawing/2014/main" id="{9A1B6F6F-26DF-E433-6C84-964BCD030A63}"/>
            </a:ext>
          </a:extLst>
        </xdr:cNvPr>
        <xdr:cNvSpPr/>
      </xdr:nvSpPr>
      <xdr:spPr>
        <a:xfrm>
          <a:off x="1082040" y="609600"/>
          <a:ext cx="1813560" cy="647700"/>
        </a:xfrm>
        <a:prstGeom prst="rect">
          <a:avLst/>
        </a:prstGeom>
        <a:solidFill>
          <a:schemeClr val="accent1">
            <a:lumMod val="40000"/>
            <a:lumOff val="60000"/>
          </a:schemeClr>
        </a:solidFill>
        <a:effectLst>
          <a:innerShdw blurRad="63500" dist="50800" dir="135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91440</xdr:colOff>
      <xdr:row>3</xdr:row>
      <xdr:rowOff>106680</xdr:rowOff>
    </xdr:from>
    <xdr:to>
      <xdr:col>4</xdr:col>
      <xdr:colOff>563880</xdr:colOff>
      <xdr:row>5</xdr:row>
      <xdr:rowOff>76200</xdr:rowOff>
    </xdr:to>
    <xdr:sp macro="" textlink="">
      <xdr:nvSpPr>
        <xdr:cNvPr id="6" name="TextBox 5">
          <a:extLst>
            <a:ext uri="{FF2B5EF4-FFF2-40B4-BE49-F238E27FC236}">
              <a16:creationId xmlns:a16="http://schemas.microsoft.com/office/drawing/2014/main" id="{DB0E0E6F-CF9C-3C42-7F12-8873D9681185}"/>
            </a:ext>
          </a:extLst>
        </xdr:cNvPr>
        <xdr:cNvSpPr txBox="1"/>
      </xdr:nvSpPr>
      <xdr:spPr>
        <a:xfrm>
          <a:off x="1310640" y="655320"/>
          <a:ext cx="1691640" cy="335280"/>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latin typeface="+mj-lt"/>
            </a:rPr>
            <a:t>Stock Values</a:t>
          </a:r>
        </a:p>
      </xdr:txBody>
    </xdr:sp>
    <xdr:clientData/>
  </xdr:twoCellAnchor>
  <xdr:twoCellAnchor editAs="oneCell">
    <xdr:from>
      <xdr:col>1</xdr:col>
      <xdr:colOff>563880</xdr:colOff>
      <xdr:row>3</xdr:row>
      <xdr:rowOff>53340</xdr:rowOff>
    </xdr:from>
    <xdr:to>
      <xdr:col>2</xdr:col>
      <xdr:colOff>358140</xdr:colOff>
      <xdr:row>5</xdr:row>
      <xdr:rowOff>91440</xdr:rowOff>
    </xdr:to>
    <xdr:pic>
      <xdr:nvPicPr>
        <xdr:cNvPr id="8" name="Graphic 7" descr="Bank with solid fill">
          <a:extLst>
            <a:ext uri="{FF2B5EF4-FFF2-40B4-BE49-F238E27FC236}">
              <a16:creationId xmlns:a16="http://schemas.microsoft.com/office/drawing/2014/main" id="{00090AD0-AEB9-17DA-3CA8-87897719CF9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173480" y="601980"/>
          <a:ext cx="403860" cy="403860"/>
        </a:xfrm>
        <a:prstGeom prst="rect">
          <a:avLst/>
        </a:prstGeom>
      </xdr:spPr>
    </xdr:pic>
    <xdr:clientData/>
  </xdr:twoCellAnchor>
  <xdr:twoCellAnchor>
    <xdr:from>
      <xdr:col>1</xdr:col>
      <xdr:colOff>533400</xdr:colOff>
      <xdr:row>5</xdr:row>
      <xdr:rowOff>22860</xdr:rowOff>
    </xdr:from>
    <xdr:to>
      <xdr:col>4</xdr:col>
      <xdr:colOff>396240</xdr:colOff>
      <xdr:row>6</xdr:row>
      <xdr:rowOff>175260</xdr:rowOff>
    </xdr:to>
    <xdr:sp macro="" textlink="">
      <xdr:nvSpPr>
        <xdr:cNvPr id="9" name="TextBox 8">
          <a:extLst>
            <a:ext uri="{FF2B5EF4-FFF2-40B4-BE49-F238E27FC236}">
              <a16:creationId xmlns:a16="http://schemas.microsoft.com/office/drawing/2014/main" id="{C521BCFA-7305-43F9-9280-F86B3B4068EB}"/>
            </a:ext>
          </a:extLst>
        </xdr:cNvPr>
        <xdr:cNvSpPr txBox="1"/>
      </xdr:nvSpPr>
      <xdr:spPr>
        <a:xfrm>
          <a:off x="1143000" y="937260"/>
          <a:ext cx="1691640" cy="335280"/>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0" i="0" u="none" strike="noStrike">
              <a:solidFill>
                <a:schemeClr val="dk1"/>
              </a:solidFill>
              <a:effectLst/>
              <a:latin typeface="+mn-lt"/>
              <a:ea typeface="+mn-ea"/>
              <a:cs typeface="+mn-cs"/>
            </a:rPr>
            <a:t> </a:t>
          </a:r>
          <a:r>
            <a:rPr lang="en-IN" sz="1400" b="1" i="0" u="none" strike="noStrike">
              <a:solidFill>
                <a:schemeClr val="dk1"/>
              </a:solidFill>
              <a:effectLst/>
              <a:latin typeface="+mn-lt"/>
              <a:ea typeface="+mn-ea"/>
              <a:cs typeface="+mn-cs"/>
            </a:rPr>
            <a:t>₹    30,56,32,003.00 </a:t>
          </a:r>
          <a:endParaRPr lang="en-IN" sz="1600" b="1">
            <a:latin typeface="+mj-lt"/>
          </a:endParaRPr>
        </a:p>
      </xdr:txBody>
    </xdr:sp>
    <xdr:clientData/>
  </xdr:twoCellAnchor>
  <xdr:twoCellAnchor>
    <xdr:from>
      <xdr:col>5</xdr:col>
      <xdr:colOff>160020</xdr:colOff>
      <xdr:row>3</xdr:row>
      <xdr:rowOff>45720</xdr:rowOff>
    </xdr:from>
    <xdr:to>
      <xdr:col>8</xdr:col>
      <xdr:colOff>144780</xdr:colOff>
      <xdr:row>6</xdr:row>
      <xdr:rowOff>144780</xdr:rowOff>
    </xdr:to>
    <xdr:sp macro="" textlink="">
      <xdr:nvSpPr>
        <xdr:cNvPr id="16" name="Rectangle 15">
          <a:extLst>
            <a:ext uri="{FF2B5EF4-FFF2-40B4-BE49-F238E27FC236}">
              <a16:creationId xmlns:a16="http://schemas.microsoft.com/office/drawing/2014/main" id="{601DE932-27E5-402C-97F3-D43F1158C036}"/>
            </a:ext>
          </a:extLst>
        </xdr:cNvPr>
        <xdr:cNvSpPr/>
      </xdr:nvSpPr>
      <xdr:spPr>
        <a:xfrm>
          <a:off x="3208020" y="594360"/>
          <a:ext cx="1813560" cy="647700"/>
        </a:xfrm>
        <a:prstGeom prst="rect">
          <a:avLst/>
        </a:prstGeom>
        <a:solidFill>
          <a:schemeClr val="accent1">
            <a:lumMod val="40000"/>
            <a:lumOff val="60000"/>
          </a:schemeClr>
        </a:solidFill>
        <a:effectLst>
          <a:innerShdw blurRad="63500" dist="50800" dir="135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434340</xdr:colOff>
      <xdr:row>3</xdr:row>
      <xdr:rowOff>121920</xdr:rowOff>
    </xdr:from>
    <xdr:to>
      <xdr:col>8</xdr:col>
      <xdr:colOff>182880</xdr:colOff>
      <xdr:row>5</xdr:row>
      <xdr:rowOff>91440</xdr:rowOff>
    </xdr:to>
    <xdr:sp macro="" textlink="">
      <xdr:nvSpPr>
        <xdr:cNvPr id="12" name="TextBox 11">
          <a:extLst>
            <a:ext uri="{FF2B5EF4-FFF2-40B4-BE49-F238E27FC236}">
              <a16:creationId xmlns:a16="http://schemas.microsoft.com/office/drawing/2014/main" id="{2B167107-8FD6-2426-F79A-C3D90742044D}"/>
            </a:ext>
          </a:extLst>
        </xdr:cNvPr>
        <xdr:cNvSpPr txBox="1"/>
      </xdr:nvSpPr>
      <xdr:spPr>
        <a:xfrm>
          <a:off x="3482340" y="670560"/>
          <a:ext cx="1577340" cy="335280"/>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latin typeface="+mj-lt"/>
            </a:rPr>
            <a:t>Unit</a:t>
          </a:r>
          <a:r>
            <a:rPr lang="en-IN" sz="1100" b="1">
              <a:latin typeface="+mj-lt"/>
            </a:rPr>
            <a:t> </a:t>
          </a:r>
          <a:r>
            <a:rPr lang="en-IN" sz="1600" b="1">
              <a:latin typeface="+mj-lt"/>
            </a:rPr>
            <a:t>Price</a:t>
          </a:r>
          <a:endParaRPr lang="en-IN" sz="1100" b="1">
            <a:latin typeface="+mj-lt"/>
          </a:endParaRPr>
        </a:p>
      </xdr:txBody>
    </xdr:sp>
    <xdr:clientData/>
  </xdr:twoCellAnchor>
  <xdr:twoCellAnchor editAs="oneCell">
    <xdr:from>
      <xdr:col>5</xdr:col>
      <xdr:colOff>388620</xdr:colOff>
      <xdr:row>3</xdr:row>
      <xdr:rowOff>76200</xdr:rowOff>
    </xdr:from>
    <xdr:to>
      <xdr:col>6</xdr:col>
      <xdr:colOff>175260</xdr:colOff>
      <xdr:row>5</xdr:row>
      <xdr:rowOff>106680</xdr:rowOff>
    </xdr:to>
    <xdr:pic>
      <xdr:nvPicPr>
        <xdr:cNvPr id="14" name="Graphic 13" descr="Bar graph with upward trend with solid fill">
          <a:extLst>
            <a:ext uri="{FF2B5EF4-FFF2-40B4-BE49-F238E27FC236}">
              <a16:creationId xmlns:a16="http://schemas.microsoft.com/office/drawing/2014/main" id="{E411FF54-FAC5-1CE1-D175-E156D49BE26D}"/>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3436620" y="624840"/>
          <a:ext cx="396240" cy="396240"/>
        </a:xfrm>
        <a:prstGeom prst="rect">
          <a:avLst/>
        </a:prstGeom>
      </xdr:spPr>
    </xdr:pic>
    <xdr:clientData/>
  </xdr:twoCellAnchor>
  <xdr:twoCellAnchor>
    <xdr:from>
      <xdr:col>5</xdr:col>
      <xdr:colOff>251460</xdr:colOff>
      <xdr:row>5</xdr:row>
      <xdr:rowOff>45720</xdr:rowOff>
    </xdr:from>
    <xdr:to>
      <xdr:col>7</xdr:col>
      <xdr:colOff>556260</xdr:colOff>
      <xdr:row>6</xdr:row>
      <xdr:rowOff>167640</xdr:rowOff>
    </xdr:to>
    <xdr:sp macro="" textlink="">
      <xdr:nvSpPr>
        <xdr:cNvPr id="15" name="TextBox 14">
          <a:extLst>
            <a:ext uri="{FF2B5EF4-FFF2-40B4-BE49-F238E27FC236}">
              <a16:creationId xmlns:a16="http://schemas.microsoft.com/office/drawing/2014/main" id="{1CDF214F-3CA4-C47F-1A09-57DFA392ADCB}"/>
            </a:ext>
          </a:extLst>
        </xdr:cNvPr>
        <xdr:cNvSpPr txBox="1"/>
      </xdr:nvSpPr>
      <xdr:spPr>
        <a:xfrm>
          <a:off x="3299460" y="960120"/>
          <a:ext cx="1524000" cy="304800"/>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0" i="0" u="none" strike="noStrike">
              <a:solidFill>
                <a:schemeClr val="dk1"/>
              </a:solidFill>
              <a:effectLst/>
              <a:latin typeface="+mn-lt"/>
              <a:ea typeface="+mn-ea"/>
              <a:cs typeface="+mn-cs"/>
            </a:rPr>
            <a:t> </a:t>
          </a:r>
          <a:r>
            <a:rPr lang="en-IN" sz="1400" b="1" i="0" u="none" strike="noStrike">
              <a:solidFill>
                <a:schemeClr val="dk1"/>
              </a:solidFill>
              <a:effectLst/>
              <a:latin typeface="+mn-lt"/>
              <a:ea typeface="+mn-ea"/>
              <a:cs typeface="+mn-cs"/>
            </a:rPr>
            <a:t>₹     29,56,292.00 </a:t>
          </a:r>
          <a:endParaRPr lang="en-IN" sz="1100" b="1"/>
        </a:p>
      </xdr:txBody>
    </xdr:sp>
    <xdr:clientData/>
  </xdr:twoCellAnchor>
  <xdr:twoCellAnchor>
    <xdr:from>
      <xdr:col>1</xdr:col>
      <xdr:colOff>137160</xdr:colOff>
      <xdr:row>9</xdr:row>
      <xdr:rowOff>99060</xdr:rowOff>
    </xdr:from>
    <xdr:to>
      <xdr:col>8</xdr:col>
      <xdr:colOff>144780</xdr:colOff>
      <xdr:row>23</xdr:row>
      <xdr:rowOff>38100</xdr:rowOff>
    </xdr:to>
    <xdr:graphicFrame macro="">
      <xdr:nvGraphicFramePr>
        <xdr:cNvPr id="17" name="Chart 16">
          <a:extLst>
            <a:ext uri="{FF2B5EF4-FFF2-40B4-BE49-F238E27FC236}">
              <a16:creationId xmlns:a16="http://schemas.microsoft.com/office/drawing/2014/main" id="{C8C0C782-83CB-4B38-A561-A9658D5111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281940</xdr:colOff>
      <xdr:row>9</xdr:row>
      <xdr:rowOff>99060</xdr:rowOff>
    </xdr:from>
    <xdr:to>
      <xdr:col>14</xdr:col>
      <xdr:colOff>563880</xdr:colOff>
      <xdr:row>23</xdr:row>
      <xdr:rowOff>45720</xdr:rowOff>
    </xdr:to>
    <xdr:graphicFrame macro="">
      <xdr:nvGraphicFramePr>
        <xdr:cNvPr id="18" name="Chart 17">
          <a:extLst>
            <a:ext uri="{FF2B5EF4-FFF2-40B4-BE49-F238E27FC236}">
              <a16:creationId xmlns:a16="http://schemas.microsoft.com/office/drawing/2014/main" id="{889C9C3F-061D-495A-BF6C-392F9FA203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15</xdr:col>
      <xdr:colOff>99060</xdr:colOff>
      <xdr:row>9</xdr:row>
      <xdr:rowOff>91440</xdr:rowOff>
    </xdr:from>
    <xdr:to>
      <xdr:col>22</xdr:col>
      <xdr:colOff>327660</xdr:colOff>
      <xdr:row>23</xdr:row>
      <xdr:rowOff>68580</xdr:rowOff>
    </xdr:to>
    <xdr:graphicFrame macro="">
      <xdr:nvGraphicFramePr>
        <xdr:cNvPr id="19" name="Chart 18">
          <a:extLst>
            <a:ext uri="{FF2B5EF4-FFF2-40B4-BE49-F238E27FC236}">
              <a16:creationId xmlns:a16="http://schemas.microsoft.com/office/drawing/2014/main" id="{615AAA00-8509-4840-8197-CD819CB812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si Priya" refreshedDate="46238.483371643517" createdVersion="8" refreshedVersion="8" minRefreshableVersion="3" recordCount="100" xr:uid="{EBBF28EF-6E42-436B-B85F-887C370D6B27}">
  <cacheSource type="worksheet">
    <worksheetSource name="Table1"/>
  </cacheSource>
  <cacheFields count="11">
    <cacheField name="Product ID" numFmtId="0">
      <sharedItems count="100">
        <s v="P001"/>
        <s v="P002"/>
        <s v="P003"/>
        <s v="P004"/>
        <s v="P005"/>
        <s v="P006"/>
        <s v="P007"/>
        <s v="P008"/>
        <s v="P009"/>
        <s v="P010"/>
        <s v="P011"/>
        <s v="P012"/>
        <s v="P013"/>
        <s v="P014"/>
        <s v="P015"/>
        <s v="P016"/>
        <s v="P017"/>
        <s v="P018"/>
        <s v="P019"/>
        <s v="P020"/>
        <s v="P021"/>
        <s v="P022"/>
        <s v="P023"/>
        <s v="P024"/>
        <s v="P025"/>
        <s v="P026"/>
        <s v="P027"/>
        <s v="P028"/>
        <s v="P029"/>
        <s v="P030"/>
        <s v="P031"/>
        <s v="P032"/>
        <s v="P033"/>
        <s v="P034"/>
        <s v="P035"/>
        <s v="P036"/>
        <s v="P037"/>
        <s v="P038"/>
        <s v="P039"/>
        <s v="P040"/>
        <s v="P041"/>
        <s v="P042"/>
        <s v="P043"/>
        <s v="P044"/>
        <s v="P045"/>
        <s v="P046"/>
        <s v="P047"/>
        <s v="P048"/>
        <s v="P049"/>
        <s v="P050"/>
        <s v="P051"/>
        <s v="P052"/>
        <s v="P053"/>
        <s v="P054"/>
        <s v="P055"/>
        <s v="P056"/>
        <s v="P057"/>
        <s v="P058"/>
        <s v="P059"/>
        <s v="P060"/>
        <s v="P061"/>
        <s v="P062"/>
        <s v="P063"/>
        <s v="P064"/>
        <s v="P065"/>
        <s v="P066"/>
        <s v="P067"/>
        <s v="P068"/>
        <s v="P069"/>
        <s v="P070"/>
        <s v="P071"/>
        <s v="P072"/>
        <s v="P073"/>
        <s v="P074"/>
        <s v="P075"/>
        <s v="P076"/>
        <s v="P077"/>
        <s v="P078"/>
        <s v="P079"/>
        <s v="P080"/>
        <s v="P081"/>
        <s v="P082"/>
        <s v="P083"/>
        <s v="P084"/>
        <s v="P085"/>
        <s v="P086"/>
        <s v="P087"/>
        <s v="P088"/>
        <s v="P089"/>
        <s v="P090"/>
        <s v="P091"/>
        <s v="P092"/>
        <s v="P093"/>
        <s v="P094"/>
        <s v="P095"/>
        <s v="P096"/>
        <s v="P097"/>
        <s v="P098"/>
        <s v="P099"/>
        <s v="P100"/>
      </sharedItems>
    </cacheField>
    <cacheField name="Date" numFmtId="164">
      <sharedItems containsSemiMixedTypes="0" containsNonDate="0" containsDate="1" containsString="0" minDate="2026-01-01T00:00:00" maxDate="2026-07-29T00:00:00" count="81">
        <d v="2026-06-26T00:00:00"/>
        <d v="2026-01-24T00:00:00"/>
        <d v="2026-07-17T00:00:00"/>
        <d v="2026-06-15T00:00:00"/>
        <d v="2026-04-23T00:00:00"/>
        <d v="2026-01-30T00:00:00"/>
        <d v="2026-07-28T00:00:00"/>
        <d v="2026-03-01T00:00:00"/>
        <d v="2026-05-10T00:00:00"/>
        <d v="2026-05-14T00:00:00"/>
        <d v="2026-06-09T00:00:00"/>
        <d v="2026-03-05T00:00:00"/>
        <d v="2026-03-13T00:00:00"/>
        <d v="2026-05-01T00:00:00"/>
        <d v="2026-01-26T00:00:00"/>
        <d v="2026-07-04T00:00:00"/>
        <d v="2026-05-11T00:00:00"/>
        <d v="2026-02-25T00:00:00"/>
        <d v="2026-03-08T00:00:00"/>
        <d v="2026-07-07T00:00:00"/>
        <d v="2026-05-02T00:00:00"/>
        <d v="2026-06-30T00:00:00"/>
        <d v="2026-01-05T00:00:00"/>
        <d v="2026-04-22T00:00:00"/>
        <d v="2026-02-09T00:00:00"/>
        <d v="2026-02-04T00:00:00"/>
        <d v="2026-07-25T00:00:00"/>
        <d v="2026-07-05T00:00:00"/>
        <d v="2026-05-29T00:00:00"/>
        <d v="2026-06-14T00:00:00"/>
        <d v="2026-06-06T00:00:00"/>
        <d v="2026-07-01T00:00:00"/>
        <d v="2026-06-18T00:00:00"/>
        <d v="2026-07-08T00:00:00"/>
        <d v="2026-01-15T00:00:00"/>
        <d v="2026-07-03T00:00:00"/>
        <d v="2026-07-15T00:00:00"/>
        <d v="2026-03-19T00:00:00"/>
        <d v="2026-05-31T00:00:00"/>
        <d v="2026-05-05T00:00:00"/>
        <d v="2026-06-08T00:00:00"/>
        <d v="2026-07-24T00:00:00"/>
        <d v="2026-05-23T00:00:00"/>
        <d v="2026-06-12T00:00:00"/>
        <d v="2026-02-01T00:00:00"/>
        <d v="2026-01-03T00:00:00"/>
        <d v="2026-02-03T00:00:00"/>
        <d v="2026-04-30T00:00:00"/>
        <d v="2026-01-14T00:00:00"/>
        <d v="2026-05-04T00:00:00"/>
        <d v="2026-06-04T00:00:00"/>
        <d v="2026-01-08T00:00:00"/>
        <d v="2026-02-22T00:00:00"/>
        <d v="2026-06-03T00:00:00"/>
        <d v="2026-01-23T00:00:00"/>
        <d v="2026-03-21T00:00:00"/>
        <d v="2026-03-27T00:00:00"/>
        <d v="2026-02-05T00:00:00"/>
        <d v="2026-07-02T00:00:00"/>
        <d v="2026-06-13T00:00:00"/>
        <d v="2026-04-10T00:00:00"/>
        <d v="2026-05-22T00:00:00"/>
        <d v="2026-07-14T00:00:00"/>
        <d v="2026-05-20T00:00:00"/>
        <d v="2026-04-15T00:00:00"/>
        <d v="2026-01-02T00:00:00"/>
        <d v="2026-01-01T00:00:00"/>
        <d v="2026-01-07T00:00:00"/>
        <d v="2026-02-13T00:00:00"/>
        <d v="2026-05-13T00:00:00"/>
        <d v="2026-04-18T00:00:00"/>
        <d v="2026-04-03T00:00:00"/>
        <d v="2026-07-20T00:00:00"/>
        <d v="2026-07-21T00:00:00"/>
        <d v="2026-04-26T00:00:00"/>
        <d v="2026-05-17T00:00:00"/>
        <d v="2026-03-03T00:00:00"/>
        <d v="2026-03-31T00:00:00"/>
        <d v="2026-04-28T00:00:00"/>
        <d v="2026-05-27T00:00:00"/>
        <d v="2026-06-28T00:00:00"/>
      </sharedItems>
      <fieldGroup par="10"/>
    </cacheField>
    <cacheField name="Product" numFmtId="0">
      <sharedItems count="10">
        <s v="Notebook"/>
        <s v="Monitor"/>
        <s v="Desk"/>
        <s v="Printer"/>
        <s v="Router"/>
        <s v="Mouse"/>
        <s v="Keyboard"/>
        <s v="Laptop"/>
        <s v="Chair"/>
        <s v="Pen"/>
      </sharedItems>
    </cacheField>
    <cacheField name="Category" numFmtId="0">
      <sharedItems count="5">
        <s v="Stationery"/>
        <s v="Electronics"/>
        <s v="Furniture"/>
        <s v="Office"/>
        <s v="Networking"/>
      </sharedItems>
    </cacheField>
    <cacheField name="Supplier" numFmtId="0">
      <sharedItems count="5">
        <s v="OfficeMart"/>
        <s v="FurniCo"/>
        <s v="Prime Traders"/>
        <s v="TechCorp"/>
        <s v="Global Supplies"/>
      </sharedItems>
    </cacheField>
    <cacheField name="Stock" numFmtId="0">
      <sharedItems containsSemiMixedTypes="0" containsString="0" containsNumber="1" containsInteger="1" minValue="9" maxValue="200" count="80">
        <n v="149"/>
        <n v="94"/>
        <n v="171"/>
        <n v="38"/>
        <n v="85"/>
        <n v="119"/>
        <n v="59"/>
        <n v="116"/>
        <n v="200"/>
        <n v="147"/>
        <n v="65"/>
        <n v="183"/>
        <n v="20"/>
        <n v="99"/>
        <n v="24"/>
        <n v="30"/>
        <n v="166"/>
        <n v="21"/>
        <n v="32"/>
        <n v="91"/>
        <n v="165"/>
        <n v="48"/>
        <n v="15"/>
        <n v="68"/>
        <n v="169"/>
        <n v="179"/>
        <n v="22"/>
        <n v="101"/>
        <n v="109"/>
        <n v="114"/>
        <n v="63"/>
        <n v="13"/>
        <n v="125"/>
        <n v="174"/>
        <n v="19"/>
        <n v="96"/>
        <n v="57"/>
        <n v="69"/>
        <n v="146"/>
        <n v="161"/>
        <n v="197"/>
        <n v="29"/>
        <n v="64"/>
        <n v="77"/>
        <n v="58"/>
        <n v="12"/>
        <n v="11"/>
        <n v="71"/>
        <n v="66"/>
        <n v="26"/>
        <n v="192"/>
        <n v="131"/>
        <n v="62"/>
        <n v="105"/>
        <n v="41"/>
        <n v="67"/>
        <n v="28"/>
        <n v="178"/>
        <n v="162"/>
        <n v="90"/>
        <n v="78"/>
        <n v="53"/>
        <n v="185"/>
        <n v="129"/>
        <n v="187"/>
        <n v="73"/>
        <n v="180"/>
        <n v="52"/>
        <n v="97"/>
        <n v="194"/>
        <n v="186"/>
        <n v="102"/>
        <n v="110"/>
        <n v="92"/>
        <n v="184"/>
        <n v="49"/>
        <n v="154"/>
        <n v="9"/>
        <n v="84"/>
        <n v="14"/>
      </sharedItems>
    </cacheField>
    <cacheField name="Reorder Level" numFmtId="0">
      <sharedItems containsSemiMixedTypes="0" containsString="0" containsNumber="1" containsInteger="1" minValue="10" maxValue="50"/>
    </cacheField>
    <cacheField name="Unit Price" numFmtId="0">
      <sharedItems containsSemiMixedTypes="0" containsString="0" containsNumber="1" containsInteger="1" minValue="1181" maxValue="59746"/>
    </cacheField>
    <cacheField name="Stock Value" numFmtId="0">
      <sharedItems containsSemiMixedTypes="0" containsString="0" containsNumber="1" containsInteger="1" minValue="48704" maxValue="10677318"/>
    </cacheField>
    <cacheField name="Days (Date)" numFmtId="0" databaseField="0">
      <fieldGroup base="1">
        <rangePr groupBy="days" startDate="2026-01-01T00:00:00" endDate="2026-07-29T00:00:00"/>
        <groupItems count="368">
          <s v="&lt;01-01-2026"/>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29-07-2026"/>
        </groupItems>
      </fieldGroup>
    </cacheField>
    <cacheField name="Months (Date)" numFmtId="0" databaseField="0">
      <fieldGroup base="1">
        <rangePr groupBy="months" startDate="2026-01-01T00:00:00" endDate="2026-07-29T00:00:00"/>
        <groupItems count="14">
          <s v="&lt;01-01-2026"/>
          <s v="Jan"/>
          <s v="Feb"/>
          <s v="Mar"/>
          <s v="Apr"/>
          <s v="May"/>
          <s v="Jun"/>
          <s v="Jul"/>
          <s v="Aug"/>
          <s v="Sep"/>
          <s v="Oct"/>
          <s v="Nov"/>
          <s v="Dec"/>
          <s v="&gt;29-07-2026"/>
        </groupItems>
      </fieldGroup>
    </cacheField>
  </cacheFields>
  <extLst>
    <ext xmlns:x14="http://schemas.microsoft.com/office/spreadsheetml/2009/9/main" uri="{725AE2AE-9491-48be-B2B4-4EB974FC3084}">
      <x14:pivotCacheDefinition pivotCacheId="95755690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x v="0"/>
    <x v="0"/>
    <x v="0"/>
    <x v="0"/>
    <x v="0"/>
    <x v="0"/>
    <n v="40"/>
    <n v="49348"/>
    <n v="7352852"/>
  </r>
  <r>
    <x v="1"/>
    <x v="1"/>
    <x v="1"/>
    <x v="1"/>
    <x v="1"/>
    <x v="1"/>
    <n v="50"/>
    <n v="59746"/>
    <n v="5616124"/>
  </r>
  <r>
    <x v="2"/>
    <x v="2"/>
    <x v="2"/>
    <x v="2"/>
    <x v="2"/>
    <x v="2"/>
    <n v="50"/>
    <n v="54587"/>
    <n v="9334377"/>
  </r>
  <r>
    <x v="3"/>
    <x v="3"/>
    <x v="3"/>
    <x v="3"/>
    <x v="3"/>
    <x v="3"/>
    <n v="10"/>
    <n v="29915"/>
    <n v="1136770"/>
  </r>
  <r>
    <x v="4"/>
    <x v="4"/>
    <x v="3"/>
    <x v="3"/>
    <x v="0"/>
    <x v="4"/>
    <n v="20"/>
    <n v="25574"/>
    <n v="2173790"/>
  </r>
  <r>
    <x v="5"/>
    <x v="5"/>
    <x v="3"/>
    <x v="3"/>
    <x v="2"/>
    <x v="5"/>
    <n v="50"/>
    <n v="50511"/>
    <n v="6010809"/>
  </r>
  <r>
    <x v="6"/>
    <x v="6"/>
    <x v="2"/>
    <x v="2"/>
    <x v="3"/>
    <x v="6"/>
    <n v="50"/>
    <n v="48803"/>
    <n v="2879377"/>
  </r>
  <r>
    <x v="7"/>
    <x v="7"/>
    <x v="4"/>
    <x v="4"/>
    <x v="2"/>
    <x v="7"/>
    <n v="40"/>
    <n v="28320"/>
    <n v="3285120"/>
  </r>
  <r>
    <x v="8"/>
    <x v="8"/>
    <x v="5"/>
    <x v="1"/>
    <x v="4"/>
    <x v="8"/>
    <n v="40"/>
    <n v="13237"/>
    <n v="2647400"/>
  </r>
  <r>
    <x v="9"/>
    <x v="9"/>
    <x v="6"/>
    <x v="1"/>
    <x v="2"/>
    <x v="8"/>
    <n v="30"/>
    <n v="34709"/>
    <n v="6941800"/>
  </r>
  <r>
    <x v="10"/>
    <x v="10"/>
    <x v="7"/>
    <x v="1"/>
    <x v="3"/>
    <x v="9"/>
    <n v="40"/>
    <n v="1213"/>
    <n v="178311"/>
  </r>
  <r>
    <x v="11"/>
    <x v="8"/>
    <x v="5"/>
    <x v="1"/>
    <x v="3"/>
    <x v="10"/>
    <n v="20"/>
    <n v="10170"/>
    <n v="661050"/>
  </r>
  <r>
    <x v="12"/>
    <x v="11"/>
    <x v="5"/>
    <x v="1"/>
    <x v="2"/>
    <x v="11"/>
    <n v="50"/>
    <n v="58346"/>
    <n v="10677318"/>
  </r>
  <r>
    <x v="13"/>
    <x v="12"/>
    <x v="1"/>
    <x v="1"/>
    <x v="3"/>
    <x v="12"/>
    <n v="20"/>
    <n v="19348"/>
    <n v="386960"/>
  </r>
  <r>
    <x v="14"/>
    <x v="13"/>
    <x v="3"/>
    <x v="3"/>
    <x v="1"/>
    <x v="13"/>
    <n v="10"/>
    <n v="15522"/>
    <n v="1536678"/>
  </r>
  <r>
    <x v="15"/>
    <x v="14"/>
    <x v="8"/>
    <x v="2"/>
    <x v="1"/>
    <x v="11"/>
    <n v="30"/>
    <n v="40667"/>
    <n v="7442061"/>
  </r>
  <r>
    <x v="16"/>
    <x v="15"/>
    <x v="0"/>
    <x v="0"/>
    <x v="3"/>
    <x v="14"/>
    <n v="30"/>
    <n v="38602"/>
    <n v="926448"/>
  </r>
  <r>
    <x v="17"/>
    <x v="16"/>
    <x v="3"/>
    <x v="3"/>
    <x v="3"/>
    <x v="15"/>
    <n v="10"/>
    <n v="20601"/>
    <n v="618030"/>
  </r>
  <r>
    <x v="18"/>
    <x v="17"/>
    <x v="7"/>
    <x v="1"/>
    <x v="2"/>
    <x v="2"/>
    <n v="50"/>
    <n v="16643"/>
    <n v="2845953"/>
  </r>
  <r>
    <x v="19"/>
    <x v="18"/>
    <x v="3"/>
    <x v="3"/>
    <x v="1"/>
    <x v="16"/>
    <n v="30"/>
    <n v="4637"/>
    <n v="769742"/>
  </r>
  <r>
    <x v="20"/>
    <x v="19"/>
    <x v="9"/>
    <x v="0"/>
    <x v="4"/>
    <x v="17"/>
    <n v="10"/>
    <n v="50141"/>
    <n v="1052961"/>
  </r>
  <r>
    <x v="21"/>
    <x v="20"/>
    <x v="5"/>
    <x v="1"/>
    <x v="1"/>
    <x v="18"/>
    <n v="10"/>
    <n v="1522"/>
    <n v="48704"/>
  </r>
  <r>
    <x v="22"/>
    <x v="21"/>
    <x v="4"/>
    <x v="4"/>
    <x v="4"/>
    <x v="19"/>
    <n v="50"/>
    <n v="47093"/>
    <n v="4285463"/>
  </r>
  <r>
    <x v="23"/>
    <x v="22"/>
    <x v="5"/>
    <x v="1"/>
    <x v="3"/>
    <x v="20"/>
    <n v="20"/>
    <n v="28546"/>
    <n v="4710090"/>
  </r>
  <r>
    <x v="24"/>
    <x v="23"/>
    <x v="1"/>
    <x v="1"/>
    <x v="0"/>
    <x v="21"/>
    <n v="10"/>
    <n v="44519"/>
    <n v="2136912"/>
  </r>
  <r>
    <x v="25"/>
    <x v="24"/>
    <x v="8"/>
    <x v="2"/>
    <x v="2"/>
    <x v="22"/>
    <n v="10"/>
    <n v="30915"/>
    <n v="463725"/>
  </r>
  <r>
    <x v="26"/>
    <x v="18"/>
    <x v="2"/>
    <x v="2"/>
    <x v="1"/>
    <x v="23"/>
    <n v="50"/>
    <n v="49077"/>
    <n v="3337236"/>
  </r>
  <r>
    <x v="27"/>
    <x v="25"/>
    <x v="9"/>
    <x v="0"/>
    <x v="1"/>
    <x v="24"/>
    <n v="30"/>
    <n v="35588"/>
    <n v="6014372"/>
  </r>
  <r>
    <x v="28"/>
    <x v="26"/>
    <x v="6"/>
    <x v="1"/>
    <x v="3"/>
    <x v="25"/>
    <n v="30"/>
    <n v="30965"/>
    <n v="5542735"/>
  </r>
  <r>
    <x v="29"/>
    <x v="27"/>
    <x v="5"/>
    <x v="1"/>
    <x v="1"/>
    <x v="26"/>
    <n v="30"/>
    <n v="2385"/>
    <n v="52470"/>
  </r>
  <r>
    <x v="30"/>
    <x v="28"/>
    <x v="2"/>
    <x v="2"/>
    <x v="2"/>
    <x v="27"/>
    <n v="20"/>
    <n v="10400"/>
    <n v="1050400"/>
  </r>
  <r>
    <x v="31"/>
    <x v="21"/>
    <x v="0"/>
    <x v="0"/>
    <x v="4"/>
    <x v="28"/>
    <n v="10"/>
    <n v="31507"/>
    <n v="3434263"/>
  </r>
  <r>
    <x v="32"/>
    <x v="29"/>
    <x v="7"/>
    <x v="1"/>
    <x v="1"/>
    <x v="29"/>
    <n v="20"/>
    <n v="10768"/>
    <n v="1227552"/>
  </r>
  <r>
    <x v="33"/>
    <x v="30"/>
    <x v="0"/>
    <x v="0"/>
    <x v="2"/>
    <x v="30"/>
    <n v="50"/>
    <n v="23938"/>
    <n v="1508094"/>
  </r>
  <r>
    <x v="34"/>
    <x v="31"/>
    <x v="9"/>
    <x v="0"/>
    <x v="1"/>
    <x v="31"/>
    <n v="50"/>
    <n v="28469"/>
    <n v="370097"/>
  </r>
  <r>
    <x v="35"/>
    <x v="32"/>
    <x v="2"/>
    <x v="2"/>
    <x v="3"/>
    <x v="32"/>
    <n v="10"/>
    <n v="5092"/>
    <n v="636500"/>
  </r>
  <r>
    <x v="36"/>
    <x v="33"/>
    <x v="1"/>
    <x v="1"/>
    <x v="4"/>
    <x v="33"/>
    <n v="20"/>
    <n v="48543"/>
    <n v="8446482"/>
  </r>
  <r>
    <x v="37"/>
    <x v="34"/>
    <x v="4"/>
    <x v="4"/>
    <x v="1"/>
    <x v="34"/>
    <n v="10"/>
    <n v="30768"/>
    <n v="584592"/>
  </r>
  <r>
    <x v="38"/>
    <x v="35"/>
    <x v="2"/>
    <x v="2"/>
    <x v="1"/>
    <x v="35"/>
    <n v="20"/>
    <n v="48502"/>
    <n v="4656192"/>
  </r>
  <r>
    <x v="39"/>
    <x v="36"/>
    <x v="0"/>
    <x v="0"/>
    <x v="4"/>
    <x v="21"/>
    <n v="10"/>
    <n v="44797"/>
    <n v="2150256"/>
  </r>
  <r>
    <x v="40"/>
    <x v="14"/>
    <x v="9"/>
    <x v="0"/>
    <x v="3"/>
    <x v="36"/>
    <n v="10"/>
    <n v="40051"/>
    <n v="2282907"/>
  </r>
  <r>
    <x v="41"/>
    <x v="37"/>
    <x v="7"/>
    <x v="1"/>
    <x v="4"/>
    <x v="37"/>
    <n v="10"/>
    <n v="10656"/>
    <n v="735264"/>
  </r>
  <r>
    <x v="42"/>
    <x v="38"/>
    <x v="5"/>
    <x v="1"/>
    <x v="4"/>
    <x v="38"/>
    <n v="50"/>
    <n v="28717"/>
    <n v="4192682"/>
  </r>
  <r>
    <x v="43"/>
    <x v="39"/>
    <x v="8"/>
    <x v="2"/>
    <x v="1"/>
    <x v="39"/>
    <n v="50"/>
    <n v="42075"/>
    <n v="6774075"/>
  </r>
  <r>
    <x v="44"/>
    <x v="40"/>
    <x v="7"/>
    <x v="1"/>
    <x v="2"/>
    <x v="40"/>
    <n v="30"/>
    <n v="9549"/>
    <n v="1881153"/>
  </r>
  <r>
    <x v="45"/>
    <x v="41"/>
    <x v="2"/>
    <x v="2"/>
    <x v="4"/>
    <x v="29"/>
    <n v="50"/>
    <n v="49535"/>
    <n v="5646990"/>
  </r>
  <r>
    <x v="46"/>
    <x v="42"/>
    <x v="2"/>
    <x v="2"/>
    <x v="2"/>
    <x v="41"/>
    <n v="20"/>
    <n v="45390"/>
    <n v="1316310"/>
  </r>
  <r>
    <x v="47"/>
    <x v="43"/>
    <x v="0"/>
    <x v="0"/>
    <x v="1"/>
    <x v="42"/>
    <n v="30"/>
    <n v="13281"/>
    <n v="849984"/>
  </r>
  <r>
    <x v="48"/>
    <x v="44"/>
    <x v="0"/>
    <x v="0"/>
    <x v="2"/>
    <x v="43"/>
    <n v="50"/>
    <n v="22684"/>
    <n v="1746668"/>
  </r>
  <r>
    <x v="49"/>
    <x v="45"/>
    <x v="1"/>
    <x v="1"/>
    <x v="3"/>
    <x v="44"/>
    <n v="30"/>
    <n v="46962"/>
    <n v="2723796"/>
  </r>
  <r>
    <x v="50"/>
    <x v="46"/>
    <x v="9"/>
    <x v="0"/>
    <x v="0"/>
    <x v="45"/>
    <n v="40"/>
    <n v="51619"/>
    <n v="619428"/>
  </r>
  <r>
    <x v="51"/>
    <x v="7"/>
    <x v="7"/>
    <x v="1"/>
    <x v="1"/>
    <x v="46"/>
    <n v="40"/>
    <n v="58784"/>
    <n v="646624"/>
  </r>
  <r>
    <x v="52"/>
    <x v="41"/>
    <x v="5"/>
    <x v="1"/>
    <x v="2"/>
    <x v="47"/>
    <n v="20"/>
    <n v="51748"/>
    <n v="3674108"/>
  </r>
  <r>
    <x v="53"/>
    <x v="47"/>
    <x v="0"/>
    <x v="0"/>
    <x v="2"/>
    <x v="48"/>
    <n v="50"/>
    <n v="49148"/>
    <n v="3243768"/>
  </r>
  <r>
    <x v="54"/>
    <x v="17"/>
    <x v="7"/>
    <x v="1"/>
    <x v="3"/>
    <x v="49"/>
    <n v="50"/>
    <n v="11208"/>
    <n v="291408"/>
  </r>
  <r>
    <x v="55"/>
    <x v="48"/>
    <x v="2"/>
    <x v="2"/>
    <x v="1"/>
    <x v="50"/>
    <n v="40"/>
    <n v="54513"/>
    <n v="10466496"/>
  </r>
  <r>
    <x v="56"/>
    <x v="49"/>
    <x v="5"/>
    <x v="1"/>
    <x v="2"/>
    <x v="51"/>
    <n v="20"/>
    <n v="14204"/>
    <n v="1860724"/>
  </r>
  <r>
    <x v="57"/>
    <x v="50"/>
    <x v="2"/>
    <x v="2"/>
    <x v="4"/>
    <x v="52"/>
    <n v="40"/>
    <n v="38185"/>
    <n v="2367470"/>
  </r>
  <r>
    <x v="58"/>
    <x v="28"/>
    <x v="0"/>
    <x v="0"/>
    <x v="3"/>
    <x v="53"/>
    <n v="50"/>
    <n v="1181"/>
    <n v="124005"/>
  </r>
  <r>
    <x v="59"/>
    <x v="51"/>
    <x v="6"/>
    <x v="1"/>
    <x v="0"/>
    <x v="54"/>
    <n v="40"/>
    <n v="56533"/>
    <n v="2317853"/>
  </r>
  <r>
    <x v="60"/>
    <x v="23"/>
    <x v="6"/>
    <x v="1"/>
    <x v="3"/>
    <x v="21"/>
    <n v="40"/>
    <n v="16347"/>
    <n v="784656"/>
  </r>
  <r>
    <x v="61"/>
    <x v="52"/>
    <x v="5"/>
    <x v="1"/>
    <x v="2"/>
    <x v="55"/>
    <n v="10"/>
    <n v="14634"/>
    <n v="980478"/>
  </r>
  <r>
    <x v="62"/>
    <x v="53"/>
    <x v="5"/>
    <x v="1"/>
    <x v="4"/>
    <x v="56"/>
    <n v="10"/>
    <n v="28693"/>
    <n v="803404"/>
  </r>
  <r>
    <x v="63"/>
    <x v="54"/>
    <x v="3"/>
    <x v="3"/>
    <x v="3"/>
    <x v="57"/>
    <n v="20"/>
    <n v="41734"/>
    <n v="7428652"/>
  </r>
  <r>
    <x v="64"/>
    <x v="55"/>
    <x v="0"/>
    <x v="0"/>
    <x v="2"/>
    <x v="58"/>
    <n v="30"/>
    <n v="31339"/>
    <n v="5076918"/>
  </r>
  <r>
    <x v="65"/>
    <x v="32"/>
    <x v="4"/>
    <x v="4"/>
    <x v="4"/>
    <x v="25"/>
    <n v="10"/>
    <n v="10616"/>
    <n v="1900264"/>
  </r>
  <r>
    <x v="66"/>
    <x v="56"/>
    <x v="0"/>
    <x v="0"/>
    <x v="1"/>
    <x v="59"/>
    <n v="10"/>
    <n v="1182"/>
    <n v="106380"/>
  </r>
  <r>
    <x v="67"/>
    <x v="57"/>
    <x v="3"/>
    <x v="3"/>
    <x v="3"/>
    <x v="60"/>
    <n v="10"/>
    <n v="30808"/>
    <n v="2403024"/>
  </r>
  <r>
    <x v="68"/>
    <x v="58"/>
    <x v="2"/>
    <x v="2"/>
    <x v="0"/>
    <x v="61"/>
    <n v="20"/>
    <n v="4267"/>
    <n v="226151"/>
  </r>
  <r>
    <x v="69"/>
    <x v="59"/>
    <x v="5"/>
    <x v="1"/>
    <x v="2"/>
    <x v="16"/>
    <n v="50"/>
    <n v="59497"/>
    <n v="9876502"/>
  </r>
  <r>
    <x v="70"/>
    <x v="60"/>
    <x v="9"/>
    <x v="0"/>
    <x v="0"/>
    <x v="62"/>
    <n v="20"/>
    <n v="46122"/>
    <n v="8532570"/>
  </r>
  <r>
    <x v="71"/>
    <x v="39"/>
    <x v="0"/>
    <x v="0"/>
    <x v="4"/>
    <x v="63"/>
    <n v="20"/>
    <n v="11658"/>
    <n v="1503882"/>
  </r>
  <r>
    <x v="72"/>
    <x v="61"/>
    <x v="2"/>
    <x v="2"/>
    <x v="2"/>
    <x v="57"/>
    <n v="50"/>
    <n v="59273"/>
    <n v="10550594"/>
  </r>
  <r>
    <x v="73"/>
    <x v="33"/>
    <x v="5"/>
    <x v="1"/>
    <x v="0"/>
    <x v="13"/>
    <n v="50"/>
    <n v="2243"/>
    <n v="222057"/>
  </r>
  <r>
    <x v="74"/>
    <x v="62"/>
    <x v="6"/>
    <x v="1"/>
    <x v="2"/>
    <x v="64"/>
    <n v="30"/>
    <n v="1266"/>
    <n v="236742"/>
  </r>
  <r>
    <x v="75"/>
    <x v="63"/>
    <x v="2"/>
    <x v="2"/>
    <x v="0"/>
    <x v="5"/>
    <n v="50"/>
    <n v="53175"/>
    <n v="6327825"/>
  </r>
  <r>
    <x v="76"/>
    <x v="64"/>
    <x v="5"/>
    <x v="1"/>
    <x v="4"/>
    <x v="65"/>
    <n v="30"/>
    <n v="24052"/>
    <n v="1755796"/>
  </r>
  <r>
    <x v="77"/>
    <x v="65"/>
    <x v="8"/>
    <x v="2"/>
    <x v="0"/>
    <x v="66"/>
    <n v="10"/>
    <n v="25831"/>
    <n v="4649580"/>
  </r>
  <r>
    <x v="78"/>
    <x v="66"/>
    <x v="8"/>
    <x v="2"/>
    <x v="2"/>
    <x v="67"/>
    <n v="30"/>
    <n v="4394"/>
    <n v="228488"/>
  </r>
  <r>
    <x v="79"/>
    <x v="32"/>
    <x v="4"/>
    <x v="4"/>
    <x v="3"/>
    <x v="68"/>
    <n v="50"/>
    <n v="56552"/>
    <n v="5485544"/>
  </r>
  <r>
    <x v="80"/>
    <x v="67"/>
    <x v="8"/>
    <x v="2"/>
    <x v="3"/>
    <x v="69"/>
    <n v="50"/>
    <n v="2271"/>
    <n v="440574"/>
  </r>
  <r>
    <x v="81"/>
    <x v="17"/>
    <x v="2"/>
    <x v="2"/>
    <x v="0"/>
    <x v="70"/>
    <n v="30"/>
    <n v="46701"/>
    <n v="8686386"/>
  </r>
  <r>
    <x v="82"/>
    <x v="68"/>
    <x v="7"/>
    <x v="1"/>
    <x v="3"/>
    <x v="71"/>
    <n v="10"/>
    <n v="27754"/>
    <n v="2830908"/>
  </r>
  <r>
    <x v="83"/>
    <x v="69"/>
    <x v="6"/>
    <x v="1"/>
    <x v="4"/>
    <x v="26"/>
    <n v="20"/>
    <n v="28023"/>
    <n v="616506"/>
  </r>
  <r>
    <x v="84"/>
    <x v="70"/>
    <x v="7"/>
    <x v="1"/>
    <x v="3"/>
    <x v="9"/>
    <n v="20"/>
    <n v="27987"/>
    <n v="4114089"/>
  </r>
  <r>
    <x v="85"/>
    <x v="71"/>
    <x v="7"/>
    <x v="1"/>
    <x v="0"/>
    <x v="50"/>
    <n v="40"/>
    <n v="20353"/>
    <n v="3907776"/>
  </r>
  <r>
    <x v="86"/>
    <x v="59"/>
    <x v="6"/>
    <x v="1"/>
    <x v="0"/>
    <x v="29"/>
    <n v="50"/>
    <n v="1708"/>
    <n v="194712"/>
  </r>
  <r>
    <x v="87"/>
    <x v="72"/>
    <x v="9"/>
    <x v="0"/>
    <x v="0"/>
    <x v="72"/>
    <n v="40"/>
    <n v="2132"/>
    <n v="234520"/>
  </r>
  <r>
    <x v="88"/>
    <x v="73"/>
    <x v="9"/>
    <x v="0"/>
    <x v="0"/>
    <x v="73"/>
    <n v="50"/>
    <n v="18818"/>
    <n v="1731256"/>
  </r>
  <r>
    <x v="89"/>
    <x v="74"/>
    <x v="3"/>
    <x v="3"/>
    <x v="1"/>
    <x v="74"/>
    <n v="30"/>
    <n v="22305"/>
    <n v="4104120"/>
  </r>
  <r>
    <x v="90"/>
    <x v="75"/>
    <x v="7"/>
    <x v="1"/>
    <x v="0"/>
    <x v="31"/>
    <n v="10"/>
    <n v="26661"/>
    <n v="346593"/>
  </r>
  <r>
    <x v="91"/>
    <x v="35"/>
    <x v="8"/>
    <x v="2"/>
    <x v="4"/>
    <x v="75"/>
    <n v="40"/>
    <n v="14477"/>
    <n v="709373"/>
  </r>
  <r>
    <x v="92"/>
    <x v="56"/>
    <x v="3"/>
    <x v="3"/>
    <x v="3"/>
    <x v="76"/>
    <n v="20"/>
    <n v="31181"/>
    <n v="4801874"/>
  </r>
  <r>
    <x v="93"/>
    <x v="76"/>
    <x v="6"/>
    <x v="1"/>
    <x v="1"/>
    <x v="77"/>
    <n v="20"/>
    <n v="28869"/>
    <n v="259821"/>
  </r>
  <r>
    <x v="94"/>
    <x v="77"/>
    <x v="2"/>
    <x v="2"/>
    <x v="2"/>
    <x v="78"/>
    <n v="50"/>
    <n v="52867"/>
    <n v="4440828"/>
  </r>
  <r>
    <x v="95"/>
    <x v="2"/>
    <x v="4"/>
    <x v="4"/>
    <x v="1"/>
    <x v="29"/>
    <n v="10"/>
    <n v="59429"/>
    <n v="6774906"/>
  </r>
  <r>
    <x v="96"/>
    <x v="23"/>
    <x v="4"/>
    <x v="4"/>
    <x v="1"/>
    <x v="72"/>
    <n v="50"/>
    <n v="48976"/>
    <n v="5387360"/>
  </r>
  <r>
    <x v="97"/>
    <x v="78"/>
    <x v="1"/>
    <x v="1"/>
    <x v="4"/>
    <x v="79"/>
    <n v="30"/>
    <n v="7690"/>
    <n v="107660"/>
  </r>
  <r>
    <x v="98"/>
    <x v="79"/>
    <x v="4"/>
    <x v="4"/>
    <x v="3"/>
    <x v="69"/>
    <n v="40"/>
    <n v="40517"/>
    <n v="7860298"/>
  </r>
  <r>
    <x v="99"/>
    <x v="80"/>
    <x v="4"/>
    <x v="4"/>
    <x v="2"/>
    <x v="41"/>
    <n v="20"/>
    <n v="3833"/>
    <n v="11115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A35A340-C2DF-49BF-9E15-B907EB3C7AD9}" name="pvorder" cacheId="4"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94">
  <location ref="A51:D62" firstHeaderRow="0" firstDataRow="1" firstDataCol="1"/>
  <pivotFields count="11">
    <pivotField dataField="1"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numFmtId="164" showAll="0">
      <items count="82">
        <item x="66"/>
        <item x="65"/>
        <item x="45"/>
        <item x="22"/>
        <item x="67"/>
        <item x="51"/>
        <item x="48"/>
        <item x="34"/>
        <item x="54"/>
        <item x="1"/>
        <item x="14"/>
        <item x="5"/>
        <item x="44"/>
        <item x="46"/>
        <item x="25"/>
        <item x="57"/>
        <item x="24"/>
        <item x="68"/>
        <item x="52"/>
        <item x="17"/>
        <item x="7"/>
        <item x="76"/>
        <item x="11"/>
        <item x="18"/>
        <item x="12"/>
        <item x="37"/>
        <item x="55"/>
        <item x="56"/>
        <item x="77"/>
        <item x="71"/>
        <item x="60"/>
        <item x="64"/>
        <item x="70"/>
        <item x="23"/>
        <item x="4"/>
        <item x="74"/>
        <item x="78"/>
        <item x="47"/>
        <item x="13"/>
        <item x="20"/>
        <item x="49"/>
        <item x="39"/>
        <item x="8"/>
        <item x="16"/>
        <item x="69"/>
        <item x="9"/>
        <item x="75"/>
        <item x="63"/>
        <item x="61"/>
        <item x="42"/>
        <item x="79"/>
        <item x="28"/>
        <item x="38"/>
        <item x="53"/>
        <item x="50"/>
        <item x="30"/>
        <item x="40"/>
        <item x="10"/>
        <item x="43"/>
        <item x="59"/>
        <item x="29"/>
        <item x="3"/>
        <item x="32"/>
        <item x="0"/>
        <item x="80"/>
        <item x="21"/>
        <item x="31"/>
        <item x="58"/>
        <item x="35"/>
        <item x="15"/>
        <item x="27"/>
        <item x="19"/>
        <item x="33"/>
        <item x="62"/>
        <item x="36"/>
        <item x="2"/>
        <item x="72"/>
        <item x="73"/>
        <item x="41"/>
        <item x="26"/>
        <item x="6"/>
        <item t="default"/>
      </items>
    </pivotField>
    <pivotField axis="axisRow" showAll="0" sortType="descending">
      <items count="11">
        <item x="8"/>
        <item x="2"/>
        <item x="6"/>
        <item x="7"/>
        <item x="1"/>
        <item x="5"/>
        <item x="0"/>
        <item x="9"/>
        <item x="3"/>
        <item x="4"/>
        <item t="default"/>
      </items>
      <autoSortScope>
        <pivotArea dataOnly="0" outline="0" fieldPosition="0">
          <references count="1">
            <reference field="4294967294" count="1" selected="0">
              <x v="0"/>
            </reference>
          </references>
        </pivotArea>
      </autoSortScope>
    </pivotField>
    <pivotField dataField="1" showAll="0">
      <items count="6">
        <item x="1"/>
        <item x="2"/>
        <item x="4"/>
        <item x="3"/>
        <item x="0"/>
        <item t="default"/>
      </items>
    </pivotField>
    <pivotField showAll="0">
      <items count="6">
        <item x="1"/>
        <item x="4"/>
        <item x="0"/>
        <item x="2"/>
        <item x="3"/>
        <item t="default"/>
      </items>
    </pivotField>
    <pivotField showAll="0"/>
    <pivotField showAll="0"/>
    <pivotField dataField="1"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2"/>
  </rowFields>
  <rowItems count="11">
    <i>
      <x v="1"/>
    </i>
    <i>
      <x v="5"/>
    </i>
    <i>
      <x v="6"/>
    </i>
    <i>
      <x v="3"/>
    </i>
    <i>
      <x v="8"/>
    </i>
    <i>
      <x v="9"/>
    </i>
    <i>
      <x v="7"/>
    </i>
    <i>
      <x v="2"/>
    </i>
    <i>
      <x/>
    </i>
    <i>
      <x v="4"/>
    </i>
    <i t="grand">
      <x/>
    </i>
  </rowItems>
  <colFields count="1">
    <field x="-2"/>
  </colFields>
  <colItems count="3">
    <i>
      <x/>
    </i>
    <i i="1">
      <x v="1"/>
    </i>
    <i i="2">
      <x v="2"/>
    </i>
  </colItems>
  <dataFields count="3">
    <dataField name="Count of Product ID" fld="0" subtotal="count" baseField="0" baseItem="0"/>
    <dataField name="Sum of Unit Price" fld="7" baseField="0" baseItem="0"/>
    <dataField name="Count of Category" fld="3" subtotal="count" baseField="0" baseItem="0"/>
  </dataFields>
  <chartFormats count="3">
    <chartFormat chart="91" format="4" series="1">
      <pivotArea type="data" outline="0" fieldPosition="0">
        <references count="1">
          <reference field="4294967294" count="1" selected="0">
            <x v="1"/>
          </reference>
        </references>
      </pivotArea>
    </chartFormat>
    <chartFormat chart="91" format="5" series="1">
      <pivotArea type="data" outline="0" fieldPosition="0">
        <references count="1">
          <reference field="4294967294" count="1" selected="0">
            <x v="0"/>
          </reference>
        </references>
      </pivotArea>
    </chartFormat>
    <chartFormat chart="91" format="6"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3BDEAF2-35A0-4B5B-9762-C832E04C1496}" name="pvmonth" cacheId="4"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86">
  <location ref="A40:C48" firstHeaderRow="0" firstDataRow="1" firstDataCol="1"/>
  <pivotFields count="11">
    <pivotField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numFmtId="164" showAll="0">
      <items count="82">
        <item x="66"/>
        <item x="65"/>
        <item x="45"/>
        <item x="22"/>
        <item x="67"/>
        <item x="51"/>
        <item x="48"/>
        <item x="34"/>
        <item x="54"/>
        <item x="1"/>
        <item x="14"/>
        <item x="5"/>
        <item x="44"/>
        <item x="46"/>
        <item x="25"/>
        <item x="57"/>
        <item x="24"/>
        <item x="68"/>
        <item x="52"/>
        <item x="17"/>
        <item x="7"/>
        <item x="76"/>
        <item x="11"/>
        <item x="18"/>
        <item x="12"/>
        <item x="37"/>
        <item x="55"/>
        <item x="56"/>
        <item x="77"/>
        <item x="71"/>
        <item x="60"/>
        <item x="64"/>
        <item x="70"/>
        <item x="23"/>
        <item x="4"/>
        <item x="74"/>
        <item x="78"/>
        <item x="47"/>
        <item x="13"/>
        <item x="20"/>
        <item x="49"/>
        <item x="39"/>
        <item x="8"/>
        <item x="16"/>
        <item x="69"/>
        <item x="9"/>
        <item x="75"/>
        <item x="63"/>
        <item x="61"/>
        <item x="42"/>
        <item x="79"/>
        <item x="28"/>
        <item x="38"/>
        <item x="53"/>
        <item x="50"/>
        <item x="30"/>
        <item x="40"/>
        <item x="10"/>
        <item x="43"/>
        <item x="59"/>
        <item x="29"/>
        <item x="3"/>
        <item x="32"/>
        <item x="0"/>
        <item x="80"/>
        <item x="21"/>
        <item x="31"/>
        <item x="58"/>
        <item x="35"/>
        <item x="15"/>
        <item x="27"/>
        <item x="19"/>
        <item x="33"/>
        <item x="62"/>
        <item x="36"/>
        <item x="2"/>
        <item x="72"/>
        <item x="73"/>
        <item x="41"/>
        <item x="26"/>
        <item x="6"/>
        <item t="default"/>
      </items>
    </pivotField>
    <pivotField showAll="0">
      <items count="11">
        <item x="8"/>
        <item x="2"/>
        <item x="6"/>
        <item x="7"/>
        <item x="1"/>
        <item x="5"/>
        <item x="0"/>
        <item x="9"/>
        <item x="3"/>
        <item x="4"/>
        <item t="default"/>
      </items>
    </pivotField>
    <pivotField dataField="1" showAll="0">
      <items count="6">
        <item x="1"/>
        <item x="2"/>
        <item x="4"/>
        <item x="3"/>
        <item x="0"/>
        <item t="default"/>
      </items>
    </pivotField>
    <pivotField showAll="0">
      <items count="6">
        <item x="1"/>
        <item x="4"/>
        <item x="0"/>
        <item x="2"/>
        <item x="3"/>
        <item t="default"/>
      </items>
    </pivotField>
    <pivotField dataField="1" showAll="0"/>
    <pivotField showAll="0"/>
    <pivotField showAll="0"/>
    <pivotField showAll="0"/>
    <pivotField showAll="0" defaultSubtotal="0"/>
    <pivotField axis="axisRow" showAll="0" sortType="ascending" defaultSubtotal="0">
      <items count="14">
        <item x="0"/>
        <item x="1"/>
        <item x="2"/>
        <item x="3"/>
        <item x="4"/>
        <item x="5"/>
        <item x="6"/>
        <item x="7"/>
        <item x="8"/>
        <item x="9"/>
        <item x="10"/>
        <item x="11"/>
        <item x="12"/>
        <item x="13"/>
      </items>
      <autoSortScope>
        <pivotArea dataOnly="0" outline="0" fieldPosition="0">
          <references count="1">
            <reference field="4294967294" count="1" selected="0">
              <x v="0"/>
            </reference>
          </references>
        </pivotArea>
      </autoSortScope>
    </pivotField>
  </pivotFields>
  <rowFields count="1">
    <field x="10"/>
  </rowFields>
  <rowItems count="8">
    <i>
      <x v="2"/>
    </i>
    <i>
      <x v="3"/>
    </i>
    <i>
      <x v="4"/>
    </i>
    <i>
      <x v="1"/>
    </i>
    <i>
      <x v="7"/>
    </i>
    <i>
      <x v="6"/>
    </i>
    <i>
      <x v="5"/>
    </i>
    <i t="grand">
      <x/>
    </i>
  </rowItems>
  <colFields count="1">
    <field x="-2"/>
  </colFields>
  <colItems count="2">
    <i>
      <x/>
    </i>
    <i i="1">
      <x v="1"/>
    </i>
  </colItems>
  <dataFields count="2">
    <dataField name="Sum of Stock" fld="5" baseField="0" baseItem="0"/>
    <dataField name="Count of Category" fld="3" subtotal="count" baseField="0" baseItem="0"/>
  </dataFields>
  <chartFormats count="9">
    <chartFormat chart="71" format="9" series="1">
      <pivotArea type="data" outline="0" fieldPosition="0">
        <references count="1">
          <reference field="10" count="1" selected="0">
            <x v="1"/>
          </reference>
        </references>
      </pivotArea>
    </chartFormat>
    <chartFormat chart="71" format="10" series="1">
      <pivotArea type="data" outline="0" fieldPosition="0">
        <references count="1">
          <reference field="10" count="1" selected="0">
            <x v="2"/>
          </reference>
        </references>
      </pivotArea>
    </chartFormat>
    <chartFormat chart="71" format="11" series="1">
      <pivotArea type="data" outline="0" fieldPosition="0">
        <references count="1">
          <reference field="10" count="1" selected="0">
            <x v="3"/>
          </reference>
        </references>
      </pivotArea>
    </chartFormat>
    <chartFormat chart="71" format="12" series="1">
      <pivotArea type="data" outline="0" fieldPosition="0">
        <references count="1">
          <reference field="10" count="1" selected="0">
            <x v="4"/>
          </reference>
        </references>
      </pivotArea>
    </chartFormat>
    <chartFormat chart="71" format="13" series="1">
      <pivotArea type="data" outline="0" fieldPosition="0">
        <references count="1">
          <reference field="10" count="1" selected="0">
            <x v="5"/>
          </reference>
        </references>
      </pivotArea>
    </chartFormat>
    <chartFormat chart="71" format="14" series="1">
      <pivotArea type="data" outline="0" fieldPosition="0">
        <references count="1">
          <reference field="10" count="1" selected="0">
            <x v="6"/>
          </reference>
        </references>
      </pivotArea>
    </chartFormat>
    <chartFormat chart="71" format="15" series="1">
      <pivotArea type="data" outline="0" fieldPosition="0">
        <references count="1">
          <reference field="10" count="1" selected="0">
            <x v="7"/>
          </reference>
        </references>
      </pivotArea>
    </chartFormat>
    <chartFormat chart="71" format="23" series="1">
      <pivotArea type="data" outline="0" fieldPosition="0">
        <references count="1">
          <reference field="4294967294" count="1" selected="0">
            <x v="0"/>
          </reference>
        </references>
      </pivotArea>
    </chartFormat>
    <chartFormat chart="71" format="28"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DD5ED49-CDEA-4F5A-9EA4-F196F0204152}" name="pvcategory" cacheId="4"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66">
  <location ref="A31:B37" firstHeaderRow="1" firstDataRow="1" firstDataCol="1" rowPageCount="1" colPageCount="1"/>
  <pivotFields count="11">
    <pivotField showAll="0"/>
    <pivotField numFmtId="164" showAll="0">
      <items count="82">
        <item x="66"/>
        <item x="65"/>
        <item x="45"/>
        <item x="22"/>
        <item x="67"/>
        <item x="51"/>
        <item x="48"/>
        <item x="34"/>
        <item x="54"/>
        <item x="1"/>
        <item x="14"/>
        <item x="5"/>
        <item x="44"/>
        <item x="46"/>
        <item x="25"/>
        <item x="57"/>
        <item x="24"/>
        <item x="68"/>
        <item x="52"/>
        <item x="17"/>
        <item x="7"/>
        <item x="76"/>
        <item x="11"/>
        <item x="18"/>
        <item x="12"/>
        <item x="37"/>
        <item x="55"/>
        <item x="56"/>
        <item x="77"/>
        <item x="71"/>
        <item x="60"/>
        <item x="64"/>
        <item x="70"/>
        <item x="23"/>
        <item x="4"/>
        <item x="74"/>
        <item x="78"/>
        <item x="47"/>
        <item x="13"/>
        <item x="20"/>
        <item x="49"/>
        <item x="39"/>
        <item x="8"/>
        <item x="16"/>
        <item x="69"/>
        <item x="9"/>
        <item x="75"/>
        <item x="63"/>
        <item x="61"/>
        <item x="42"/>
        <item x="79"/>
        <item x="28"/>
        <item x="38"/>
        <item x="53"/>
        <item x="50"/>
        <item x="30"/>
        <item x="40"/>
        <item x="10"/>
        <item x="43"/>
        <item x="59"/>
        <item x="29"/>
        <item x="3"/>
        <item x="32"/>
        <item x="0"/>
        <item x="80"/>
        <item x="21"/>
        <item x="31"/>
        <item x="58"/>
        <item x="35"/>
        <item x="15"/>
        <item x="27"/>
        <item x="19"/>
        <item x="33"/>
        <item x="62"/>
        <item x="36"/>
        <item x="2"/>
        <item x="72"/>
        <item x="73"/>
        <item x="41"/>
        <item x="26"/>
        <item x="6"/>
        <item t="default"/>
      </items>
    </pivotField>
    <pivotField showAll="0" sortType="descending">
      <items count="11">
        <item x="8"/>
        <item x="2"/>
        <item x="6"/>
        <item x="7"/>
        <item x="1"/>
        <item x="5"/>
        <item x="0"/>
        <item x="9"/>
        <item x="3"/>
        <item x="4"/>
        <item t="default"/>
      </items>
      <autoSortScope>
        <pivotArea dataOnly="0" outline="0" fieldPosition="0">
          <references count="1">
            <reference field="4294967294" count="1" selected="0">
              <x v="0"/>
            </reference>
          </references>
        </pivotArea>
      </autoSortScope>
    </pivotField>
    <pivotField axis="axisPage" showAll="0" sortType="descending">
      <items count="6">
        <item x="1"/>
        <item x="2"/>
        <item x="4"/>
        <item x="3"/>
        <item x="0"/>
        <item t="default"/>
      </items>
      <autoSortScope>
        <pivotArea dataOnly="0" outline="0" fieldPosition="0">
          <references count="1">
            <reference field="4294967294" count="1" selected="0">
              <x v="0"/>
            </reference>
          </references>
        </pivotArea>
      </autoSortScope>
    </pivotField>
    <pivotField axis="axisRow" showAll="0" sortType="descending">
      <items count="6">
        <item x="1"/>
        <item x="4"/>
        <item x="0"/>
        <item x="2"/>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showAll="0" defaultSubtotal="0"/>
    <pivotField showAll="0" defaultSubtotal="0">
      <items count="14">
        <item x="0"/>
        <item x="1"/>
        <item x="2"/>
        <item x="3"/>
        <item x="4"/>
        <item x="5"/>
        <item x="6"/>
        <item x="7"/>
        <item x="8"/>
        <item x="9"/>
        <item x="10"/>
        <item x="11"/>
        <item x="12"/>
        <item x="13"/>
      </items>
    </pivotField>
  </pivotFields>
  <rowFields count="1">
    <field x="4"/>
  </rowFields>
  <rowItems count="6">
    <i>
      <x v="3"/>
    </i>
    <i>
      <x/>
    </i>
    <i>
      <x v="4"/>
    </i>
    <i>
      <x v="2"/>
    </i>
    <i>
      <x v="1"/>
    </i>
    <i t="grand">
      <x/>
    </i>
  </rowItems>
  <colItems count="1">
    <i/>
  </colItems>
  <pageFields count="1">
    <pageField fld="3" hier="-1"/>
  </pageFields>
  <dataFields count="1">
    <dataField name="Sum of Stock Value" fld="8" baseField="0" baseItem="0"/>
  </dataFields>
  <chartFormats count="11">
    <chartFormat chart="5"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23" format="0" series="1">
      <pivotArea type="data" outline="0" fieldPosition="0">
        <references count="1">
          <reference field="4294967294" count="1" selected="0">
            <x v="0"/>
          </reference>
        </references>
      </pivotArea>
    </chartFormat>
    <chartFormat chart="35" format="0" series="1">
      <pivotArea type="data" outline="0" fieldPosition="0">
        <references count="1">
          <reference field="4294967294" count="1" selected="0">
            <x v="0"/>
          </reference>
        </references>
      </pivotArea>
    </chartFormat>
    <chartFormat chart="47" format="5" series="1">
      <pivotArea type="data" outline="0" fieldPosition="0">
        <references count="1">
          <reference field="4294967294" count="1" selected="0">
            <x v="0"/>
          </reference>
        </references>
      </pivotArea>
    </chartFormat>
    <chartFormat chart="64" format="12" series="1">
      <pivotArea type="data" outline="0" fieldPosition="0">
        <references count="1">
          <reference field="4294967294" count="1" selected="0">
            <x v="0"/>
          </reference>
        </references>
      </pivotArea>
    </chartFormat>
    <chartFormat chart="64" format="13">
      <pivotArea type="data" outline="0" fieldPosition="0">
        <references count="2">
          <reference field="4294967294" count="1" selected="0">
            <x v="0"/>
          </reference>
          <reference field="4" count="1" selected="0">
            <x v="3"/>
          </reference>
        </references>
      </pivotArea>
    </chartFormat>
    <chartFormat chart="64" format="14">
      <pivotArea type="data" outline="0" fieldPosition="0">
        <references count="2">
          <reference field="4294967294" count="1" selected="0">
            <x v="0"/>
          </reference>
          <reference field="4" count="1" selected="0">
            <x v="0"/>
          </reference>
        </references>
      </pivotArea>
    </chartFormat>
    <chartFormat chart="64" format="15">
      <pivotArea type="data" outline="0" fieldPosition="0">
        <references count="2">
          <reference field="4294967294" count="1" selected="0">
            <x v="0"/>
          </reference>
          <reference field="4" count="1" selected="0">
            <x v="4"/>
          </reference>
        </references>
      </pivotArea>
    </chartFormat>
    <chartFormat chart="64" format="16">
      <pivotArea type="data" outline="0" fieldPosition="0">
        <references count="2">
          <reference field="4294967294" count="1" selected="0">
            <x v="0"/>
          </reference>
          <reference field="4" count="1" selected="0">
            <x v="2"/>
          </reference>
        </references>
      </pivotArea>
    </chartFormat>
    <chartFormat chart="64" format="17">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DF7E3E8-D644-4F80-9F6F-679FCAB19354}" name="pvCatavalue"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8">
  <location ref="A22:C28" firstHeaderRow="0" firstDataRow="1" firstDataCol="1"/>
  <pivotFields count="11">
    <pivotField showAll="0"/>
    <pivotField numFmtId="164" showAll="0">
      <items count="82">
        <item x="66"/>
        <item x="65"/>
        <item x="45"/>
        <item x="22"/>
        <item x="67"/>
        <item x="51"/>
        <item x="48"/>
        <item x="34"/>
        <item x="54"/>
        <item x="1"/>
        <item x="14"/>
        <item x="5"/>
        <item x="44"/>
        <item x="46"/>
        <item x="25"/>
        <item x="57"/>
        <item x="24"/>
        <item x="68"/>
        <item x="52"/>
        <item x="17"/>
        <item x="7"/>
        <item x="76"/>
        <item x="11"/>
        <item x="18"/>
        <item x="12"/>
        <item x="37"/>
        <item x="55"/>
        <item x="56"/>
        <item x="77"/>
        <item x="71"/>
        <item x="60"/>
        <item x="64"/>
        <item x="70"/>
        <item x="23"/>
        <item x="4"/>
        <item x="74"/>
        <item x="78"/>
        <item x="47"/>
        <item x="13"/>
        <item x="20"/>
        <item x="49"/>
        <item x="39"/>
        <item x="8"/>
        <item x="16"/>
        <item x="69"/>
        <item x="9"/>
        <item x="75"/>
        <item x="63"/>
        <item x="61"/>
        <item x="42"/>
        <item x="79"/>
        <item x="28"/>
        <item x="38"/>
        <item x="53"/>
        <item x="50"/>
        <item x="30"/>
        <item x="40"/>
        <item x="10"/>
        <item x="43"/>
        <item x="59"/>
        <item x="29"/>
        <item x="3"/>
        <item x="32"/>
        <item x="0"/>
        <item x="80"/>
        <item x="21"/>
        <item x="31"/>
        <item x="58"/>
        <item x="35"/>
        <item x="15"/>
        <item x="27"/>
        <item x="19"/>
        <item x="33"/>
        <item x="62"/>
        <item x="36"/>
        <item x="2"/>
        <item x="72"/>
        <item x="73"/>
        <item x="41"/>
        <item x="26"/>
        <item x="6"/>
        <item t="default"/>
      </items>
    </pivotField>
    <pivotField showAll="0" sortType="descending">
      <items count="11">
        <item x="8"/>
        <item x="2"/>
        <item x="6"/>
        <item x="7"/>
        <item x="1"/>
        <item x="5"/>
        <item x="0"/>
        <item x="9"/>
        <item x="3"/>
        <item x="4"/>
        <item t="default"/>
      </items>
      <autoSortScope>
        <pivotArea dataOnly="0" outline="0" fieldPosition="0">
          <references count="1">
            <reference field="4294967294" count="1" selected="0">
              <x v="0"/>
            </reference>
          </references>
        </pivotArea>
      </autoSortScope>
    </pivotField>
    <pivotField axis="axisRow" showAll="0" sortType="descending">
      <items count="6">
        <item x="1"/>
        <item x="2"/>
        <item x="4"/>
        <item x="3"/>
        <item x="0"/>
        <item t="default"/>
      </items>
      <autoSortScope>
        <pivotArea dataOnly="0" outline="0" fieldPosition="0">
          <references count="1">
            <reference field="4294967294" count="1" selected="0">
              <x v="0"/>
            </reference>
          </references>
        </pivotArea>
      </autoSortScope>
    </pivotField>
    <pivotField showAll="0">
      <items count="6">
        <item x="1"/>
        <item x="4"/>
        <item x="0"/>
        <item x="2"/>
        <item x="3"/>
        <item t="default"/>
      </items>
    </pivotField>
    <pivotField showAll="0"/>
    <pivotField showAll="0"/>
    <pivotField dataField="1" showAll="0"/>
    <pivotField dataField="1" showAll="0"/>
    <pivotField showAll="0" defaultSubtotal="0"/>
    <pivotField showAll="0" defaultSubtotal="0">
      <items count="14">
        <item x="0"/>
        <item x="1"/>
        <item x="2"/>
        <item x="3"/>
        <item x="4"/>
        <item x="5"/>
        <item x="6"/>
        <item x="7"/>
        <item x="8"/>
        <item x="9"/>
        <item x="10"/>
        <item x="11"/>
        <item x="12"/>
        <item x="13"/>
      </items>
    </pivotField>
  </pivotFields>
  <rowFields count="1">
    <field x="3"/>
  </rowFields>
  <rowItems count="6">
    <i>
      <x/>
    </i>
    <i>
      <x v="1"/>
    </i>
    <i>
      <x v="4"/>
    </i>
    <i>
      <x v="2"/>
    </i>
    <i>
      <x v="3"/>
    </i>
    <i t="grand">
      <x/>
    </i>
  </rowItems>
  <colFields count="1">
    <field x="-2"/>
  </colFields>
  <colItems count="2">
    <i>
      <x/>
    </i>
    <i i="1">
      <x v="1"/>
    </i>
  </colItems>
  <dataFields count="2">
    <dataField name="Sum of Stock Value" fld="8" baseField="0" baseItem="0"/>
    <dataField name="Sum of Unit Price" fld="7" baseField="0" baseItem="0"/>
  </dataFields>
  <chartFormats count="4">
    <chartFormat chart="5"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47" format="5" series="1">
      <pivotArea type="data" outline="0" fieldPosition="0">
        <references count="1">
          <reference field="4294967294" count="1" selected="0">
            <x v="0"/>
          </reference>
        </references>
      </pivotArea>
    </chartFormat>
    <chartFormat chart="47" format="6"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88A322A-77AD-4DFB-897F-A791C80786BF}" name="pvstock"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8:B19" firstHeaderRow="1" firstDataRow="1" firstDataCol="1"/>
  <pivotFields count="11">
    <pivotField showAll="0"/>
    <pivotField numFmtId="164" showAll="0">
      <items count="82">
        <item x="66"/>
        <item x="65"/>
        <item x="45"/>
        <item x="22"/>
        <item x="67"/>
        <item x="51"/>
        <item x="48"/>
        <item x="34"/>
        <item x="54"/>
        <item x="1"/>
        <item x="14"/>
        <item x="5"/>
        <item x="44"/>
        <item x="46"/>
        <item x="25"/>
        <item x="57"/>
        <item x="24"/>
        <item x="68"/>
        <item x="52"/>
        <item x="17"/>
        <item x="7"/>
        <item x="76"/>
        <item x="11"/>
        <item x="18"/>
        <item x="12"/>
        <item x="37"/>
        <item x="55"/>
        <item x="56"/>
        <item x="77"/>
        <item x="71"/>
        <item x="60"/>
        <item x="64"/>
        <item x="70"/>
        <item x="23"/>
        <item x="4"/>
        <item x="74"/>
        <item x="78"/>
        <item x="47"/>
        <item x="13"/>
        <item x="20"/>
        <item x="49"/>
        <item x="39"/>
        <item x="8"/>
        <item x="16"/>
        <item x="69"/>
        <item x="9"/>
        <item x="75"/>
        <item x="63"/>
        <item x="61"/>
        <item x="42"/>
        <item x="79"/>
        <item x="28"/>
        <item x="38"/>
        <item x="53"/>
        <item x="50"/>
        <item x="30"/>
        <item x="40"/>
        <item x="10"/>
        <item x="43"/>
        <item x="59"/>
        <item x="29"/>
        <item x="3"/>
        <item x="32"/>
        <item x="0"/>
        <item x="80"/>
        <item x="21"/>
        <item x="31"/>
        <item x="58"/>
        <item x="35"/>
        <item x="15"/>
        <item x="27"/>
        <item x="19"/>
        <item x="33"/>
        <item x="62"/>
        <item x="36"/>
        <item x="2"/>
        <item x="72"/>
        <item x="73"/>
        <item x="41"/>
        <item x="26"/>
        <item x="6"/>
        <item t="default"/>
      </items>
    </pivotField>
    <pivotField axis="axisRow" showAll="0" sortType="descending">
      <items count="11">
        <item x="8"/>
        <item x="2"/>
        <item x="6"/>
        <item x="7"/>
        <item x="1"/>
        <item x="5"/>
        <item x="0"/>
        <item x="9"/>
        <item x="3"/>
        <item x="4"/>
        <item t="default"/>
      </items>
      <autoSortScope>
        <pivotArea dataOnly="0" outline="0" fieldPosition="0">
          <references count="1">
            <reference field="4294967294" count="1" selected="0">
              <x v="0"/>
            </reference>
          </references>
        </pivotArea>
      </autoSortScope>
    </pivotField>
    <pivotField showAll="0"/>
    <pivotField showAll="0">
      <items count="6">
        <item x="1"/>
        <item x="4"/>
        <item x="0"/>
        <item x="2"/>
        <item x="3"/>
        <item t="default"/>
      </items>
    </pivotField>
    <pivotField showAll="0"/>
    <pivotField showAll="0"/>
    <pivotField showAll="0"/>
    <pivotField dataField="1" showAll="0"/>
    <pivotField showAll="0" defaultSubtotal="0"/>
    <pivotField showAll="0" defaultSubtotal="0">
      <items count="14">
        <item x="0"/>
        <item x="1"/>
        <item x="2"/>
        <item x="3"/>
        <item x="4"/>
        <item x="5"/>
        <item x="6"/>
        <item x="7"/>
        <item x="8"/>
        <item x="9"/>
        <item x="10"/>
        <item x="11"/>
        <item x="12"/>
        <item x="13"/>
      </items>
    </pivotField>
  </pivotFields>
  <rowFields count="1">
    <field x="2"/>
  </rowFields>
  <rowItems count="11">
    <i>
      <x v="1"/>
    </i>
    <i>
      <x v="5"/>
    </i>
    <i>
      <x v="9"/>
    </i>
    <i>
      <x v="8"/>
    </i>
    <i>
      <x v="6"/>
    </i>
    <i>
      <x v="7"/>
    </i>
    <i>
      <x/>
    </i>
    <i>
      <x v="4"/>
    </i>
    <i>
      <x v="3"/>
    </i>
    <i>
      <x v="2"/>
    </i>
    <i t="grand">
      <x/>
    </i>
  </rowItems>
  <colItems count="1">
    <i/>
  </colItems>
  <dataFields count="1">
    <dataField name="Sum of Stock Value" fld="8" baseField="0" baseItem="0"/>
  </dataFields>
  <chartFormats count="1">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A7816D1-13FD-4661-8D7C-D18435B402D9}" name="pv summery"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1">
    <pivotField showAll="0"/>
    <pivotField numFmtId="164" showAll="0">
      <items count="82">
        <item x="66"/>
        <item x="65"/>
        <item x="45"/>
        <item x="22"/>
        <item x="67"/>
        <item x="51"/>
        <item x="48"/>
        <item x="34"/>
        <item x="54"/>
        <item x="1"/>
        <item x="14"/>
        <item x="5"/>
        <item x="44"/>
        <item x="46"/>
        <item x="25"/>
        <item x="57"/>
        <item x="24"/>
        <item x="68"/>
        <item x="52"/>
        <item x="17"/>
        <item x="7"/>
        <item x="76"/>
        <item x="11"/>
        <item x="18"/>
        <item x="12"/>
        <item x="37"/>
        <item x="55"/>
        <item x="56"/>
        <item x="77"/>
        <item x="71"/>
        <item x="60"/>
        <item x="64"/>
        <item x="70"/>
        <item x="23"/>
        <item x="4"/>
        <item x="74"/>
        <item x="78"/>
        <item x="47"/>
        <item x="13"/>
        <item x="20"/>
        <item x="49"/>
        <item x="39"/>
        <item x="8"/>
        <item x="16"/>
        <item x="69"/>
        <item x="9"/>
        <item x="75"/>
        <item x="63"/>
        <item x="61"/>
        <item x="42"/>
        <item x="79"/>
        <item x="28"/>
        <item x="38"/>
        <item x="53"/>
        <item x="50"/>
        <item x="30"/>
        <item x="40"/>
        <item x="10"/>
        <item x="43"/>
        <item x="59"/>
        <item x="29"/>
        <item x="3"/>
        <item x="32"/>
        <item x="0"/>
        <item x="80"/>
        <item x="21"/>
        <item x="31"/>
        <item x="58"/>
        <item x="35"/>
        <item x="15"/>
        <item x="27"/>
        <item x="19"/>
        <item x="33"/>
        <item x="62"/>
        <item x="36"/>
        <item x="2"/>
        <item x="72"/>
        <item x="73"/>
        <item x="41"/>
        <item x="26"/>
        <item x="6"/>
        <item t="default"/>
      </items>
    </pivotField>
    <pivotField showAll="0"/>
    <pivotField showAll="0"/>
    <pivotField dataField="1" showAll="0">
      <items count="6">
        <item x="1"/>
        <item x="4"/>
        <item x="0"/>
        <item x="2"/>
        <item x="3"/>
        <item t="default"/>
      </items>
    </pivotField>
    <pivotField dataField="1" showAll="0"/>
    <pivotField showAll="0"/>
    <pivotField dataField="1" showAll="0"/>
    <pivotField dataField="1" showAll="0"/>
    <pivotField showAll="0" defaultSubtotal="0"/>
    <pivotField showAll="0" defaultSubtotal="0">
      <items count="14">
        <item x="0"/>
        <item x="1"/>
        <item x="2"/>
        <item x="3"/>
        <item x="4"/>
        <item x="5"/>
        <item x="6"/>
        <item x="7"/>
        <item x="8"/>
        <item x="9"/>
        <item x="10"/>
        <item x="11"/>
        <item x="12"/>
        <item x="13"/>
      </items>
    </pivotField>
  </pivotFields>
  <rowItems count="1">
    <i/>
  </rowItems>
  <colFields count="1">
    <field x="-2"/>
  </colFields>
  <colItems count="4">
    <i>
      <x/>
    </i>
    <i i="1">
      <x v="1"/>
    </i>
    <i i="2">
      <x v="2"/>
    </i>
    <i i="3">
      <x v="3"/>
    </i>
  </colItems>
  <dataFields count="4">
    <dataField name="Sum of Stock Value" fld="8" baseField="0" baseItem="0"/>
    <dataField name="Sum of Stock" fld="5" baseField="0" baseItem="0"/>
    <dataField name="Average of Unit Price" fld="7" subtotal="average" baseField="0" baseItem="1"/>
    <dataField name="Count of Supplier" fld="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E9438CD-679E-479C-B95D-1A1549515B0B}" name="PivotTable3"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7">
  <location ref="F36:G44" firstHeaderRow="1" firstDataRow="1" firstDataCol="1"/>
  <pivotFields count="11">
    <pivotField showAll="0"/>
    <pivotField numFmtId="164" showAll="0">
      <items count="82">
        <item x="66"/>
        <item x="65"/>
        <item x="45"/>
        <item x="22"/>
        <item x="67"/>
        <item x="51"/>
        <item x="48"/>
        <item x="34"/>
        <item x="54"/>
        <item x="1"/>
        <item x="14"/>
        <item x="5"/>
        <item x="44"/>
        <item x="46"/>
        <item x="25"/>
        <item x="57"/>
        <item x="24"/>
        <item x="68"/>
        <item x="52"/>
        <item x="17"/>
        <item x="7"/>
        <item x="76"/>
        <item x="11"/>
        <item x="18"/>
        <item x="12"/>
        <item x="37"/>
        <item x="55"/>
        <item x="56"/>
        <item x="77"/>
        <item x="71"/>
        <item x="60"/>
        <item x="64"/>
        <item x="70"/>
        <item x="23"/>
        <item x="4"/>
        <item x="74"/>
        <item x="78"/>
        <item x="47"/>
        <item x="13"/>
        <item x="20"/>
        <item x="49"/>
        <item x="39"/>
        <item x="8"/>
        <item x="16"/>
        <item x="69"/>
        <item x="9"/>
        <item x="75"/>
        <item x="63"/>
        <item x="61"/>
        <item x="42"/>
        <item x="79"/>
        <item x="28"/>
        <item x="38"/>
        <item x="53"/>
        <item x="50"/>
        <item x="30"/>
        <item x="40"/>
        <item x="10"/>
        <item x="43"/>
        <item x="59"/>
        <item x="29"/>
        <item x="3"/>
        <item x="32"/>
        <item x="0"/>
        <item x="80"/>
        <item x="21"/>
        <item x="31"/>
        <item x="58"/>
        <item x="35"/>
        <item x="15"/>
        <item x="27"/>
        <item x="19"/>
        <item x="33"/>
        <item x="62"/>
        <item x="36"/>
        <item x="2"/>
        <item x="72"/>
        <item x="73"/>
        <item x="41"/>
        <item x="26"/>
        <item x="6"/>
        <item t="default"/>
      </items>
    </pivotField>
    <pivotField showAll="0" sortType="descending">
      <items count="11">
        <item x="8"/>
        <item x="2"/>
        <item x="6"/>
        <item x="7"/>
        <item x="1"/>
        <item x="5"/>
        <item x="0"/>
        <item x="9"/>
        <item x="3"/>
        <item x="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dataField="1"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sortType="descending">
      <items count="15">
        <item sd="0" x="0"/>
        <item sd="0" x="1"/>
        <item sd="0" x="2"/>
        <item sd="0" x="3"/>
        <item sd="0" x="4"/>
        <item sd="0" x="5"/>
        <item sd="0" x="6"/>
        <item sd="0" x="7"/>
        <item sd="0" x="8"/>
        <item sd="0" x="9"/>
        <item sd="0" x="10"/>
        <item sd="0" x="11"/>
        <item sd="0" x="12"/>
        <item sd="0" x="13"/>
        <item t="default"/>
      </items>
      <autoSortScope>
        <pivotArea dataOnly="0" outline="0" fieldPosition="0">
          <references count="1">
            <reference field="4294967294" count="1" selected="0">
              <x v="0"/>
            </reference>
          </references>
        </pivotArea>
      </autoSortScope>
    </pivotField>
  </pivotFields>
  <rowFields count="1">
    <field x="10"/>
  </rowFields>
  <rowItems count="8">
    <i>
      <x v="5"/>
    </i>
    <i>
      <x v="1"/>
    </i>
    <i>
      <x v="7"/>
    </i>
    <i>
      <x v="6"/>
    </i>
    <i>
      <x v="4"/>
    </i>
    <i>
      <x v="3"/>
    </i>
    <i>
      <x v="2"/>
    </i>
    <i t="grand">
      <x/>
    </i>
  </rowItems>
  <colItems count="1">
    <i/>
  </colItems>
  <dataFields count="1">
    <dataField name="Sum of Stock Value" fld="8" baseField="10" baseItem="1" numFmtId="3"/>
  </dataFields>
  <chartFormats count="3">
    <chartFormat chart="36" format="0" series="1">
      <pivotArea type="data" outline="0" fieldPosition="0">
        <references count="1">
          <reference field="4294967294" count="1" selected="0">
            <x v="0"/>
          </reference>
        </references>
      </pivotArea>
    </chartFormat>
    <chartFormat chart="40" format="1" series="1">
      <pivotArea type="data" outline="0" fieldPosition="0">
        <references count="1">
          <reference field="4294967294" count="1" selected="0">
            <x v="0"/>
          </reference>
        </references>
      </pivotArea>
    </chartFormat>
    <chartFormat chart="4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5E32A5B-FB23-4DC6-BA93-4DF132179F19}" name="PivotTable2"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9">
  <location ref="B19:H31" firstHeaderRow="1" firstDataRow="2" firstDataCol="1"/>
  <pivotFields count="11">
    <pivotField showAll="0"/>
    <pivotField numFmtId="164" showAll="0">
      <items count="82">
        <item x="66"/>
        <item x="65"/>
        <item x="45"/>
        <item x="22"/>
        <item x="67"/>
        <item x="51"/>
        <item x="48"/>
        <item x="34"/>
        <item x="54"/>
        <item x="1"/>
        <item x="14"/>
        <item x="5"/>
        <item x="44"/>
        <item x="46"/>
        <item x="25"/>
        <item x="57"/>
        <item x="24"/>
        <item x="68"/>
        <item x="52"/>
        <item x="17"/>
        <item x="7"/>
        <item x="76"/>
        <item x="11"/>
        <item x="18"/>
        <item x="12"/>
        <item x="37"/>
        <item x="55"/>
        <item x="56"/>
        <item x="77"/>
        <item x="71"/>
        <item x="60"/>
        <item x="64"/>
        <item x="70"/>
        <item x="23"/>
        <item x="4"/>
        <item x="74"/>
        <item x="78"/>
        <item x="47"/>
        <item x="13"/>
        <item x="20"/>
        <item x="49"/>
        <item x="39"/>
        <item x="8"/>
        <item x="16"/>
        <item x="69"/>
        <item x="9"/>
        <item x="75"/>
        <item x="63"/>
        <item x="61"/>
        <item x="42"/>
        <item x="79"/>
        <item x="28"/>
        <item x="38"/>
        <item x="53"/>
        <item x="50"/>
        <item x="30"/>
        <item x="40"/>
        <item x="10"/>
        <item x="43"/>
        <item x="59"/>
        <item x="29"/>
        <item x="3"/>
        <item x="32"/>
        <item x="0"/>
        <item x="80"/>
        <item x="21"/>
        <item x="31"/>
        <item x="58"/>
        <item x="35"/>
        <item x="15"/>
        <item x="27"/>
        <item x="19"/>
        <item x="33"/>
        <item x="62"/>
        <item x="36"/>
        <item x="2"/>
        <item x="72"/>
        <item x="73"/>
        <item x="41"/>
        <item x="26"/>
        <item x="6"/>
        <item t="default"/>
      </items>
    </pivotField>
    <pivotField axis="axisRow" showAll="0" sortType="descending">
      <items count="11">
        <item x="8"/>
        <item x="2"/>
        <item x="6"/>
        <item x="7"/>
        <item x="1"/>
        <item x="5"/>
        <item x="0"/>
        <item x="9"/>
        <item x="3"/>
        <item x="4"/>
        <item t="default"/>
      </items>
      <autoSortScope>
        <pivotArea dataOnly="0" outline="0" fieldPosition="0">
          <references count="1">
            <reference field="4294967294" count="1" selected="0">
              <x v="0"/>
            </reference>
          </references>
        </pivotArea>
      </autoSortScope>
    </pivotField>
    <pivotField showAll="0"/>
    <pivotField axis="axisCol" showAll="0" sortType="descending">
      <items count="6">
        <item x="1"/>
        <item x="4"/>
        <item x="0"/>
        <item x="2"/>
        <item x="3"/>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11">
    <i>
      <x v="1"/>
    </i>
    <i>
      <x v="5"/>
    </i>
    <i>
      <x v="3"/>
    </i>
    <i>
      <x v="8"/>
    </i>
    <i>
      <x v="6"/>
    </i>
    <i>
      <x v="9"/>
    </i>
    <i>
      <x/>
    </i>
    <i>
      <x v="2"/>
    </i>
    <i>
      <x v="7"/>
    </i>
    <i>
      <x v="4"/>
    </i>
    <i t="grand">
      <x/>
    </i>
  </rowItems>
  <colFields count="1">
    <field x="4"/>
  </colFields>
  <colItems count="6">
    <i>
      <x v="3"/>
    </i>
    <i>
      <x v="4"/>
    </i>
    <i>
      <x/>
    </i>
    <i>
      <x v="2"/>
    </i>
    <i>
      <x v="1"/>
    </i>
    <i t="grand">
      <x/>
    </i>
  </colItems>
  <dataFields count="1">
    <dataField name="Sum of Stock" fld="5" baseField="0" baseItem="0"/>
  </dataFields>
  <chartFormats count="15">
    <chartFormat chart="53" format="0" series="1">
      <pivotArea type="data" outline="0" fieldPosition="0">
        <references count="2">
          <reference field="4294967294" count="1" selected="0">
            <x v="0"/>
          </reference>
          <reference field="4" count="1" selected="0">
            <x v="3"/>
          </reference>
        </references>
      </pivotArea>
    </chartFormat>
    <chartFormat chart="53" format="1" series="1">
      <pivotArea type="data" outline="0" fieldPosition="0">
        <references count="2">
          <reference field="4294967294" count="1" selected="0">
            <x v="0"/>
          </reference>
          <reference field="4" count="1" selected="0">
            <x v="4"/>
          </reference>
        </references>
      </pivotArea>
    </chartFormat>
    <chartFormat chart="53" format="2" series="1">
      <pivotArea type="data" outline="0" fieldPosition="0">
        <references count="2">
          <reference field="4294967294" count="1" selected="0">
            <x v="0"/>
          </reference>
          <reference field="4" count="1" selected="0">
            <x v="0"/>
          </reference>
        </references>
      </pivotArea>
    </chartFormat>
    <chartFormat chart="53" format="3" series="1">
      <pivotArea type="data" outline="0" fieldPosition="0">
        <references count="2">
          <reference field="4294967294" count="1" selected="0">
            <x v="0"/>
          </reference>
          <reference field="4" count="1" selected="0">
            <x v="2"/>
          </reference>
        </references>
      </pivotArea>
    </chartFormat>
    <chartFormat chart="53" format="4" series="1">
      <pivotArea type="data" outline="0" fieldPosition="0">
        <references count="2">
          <reference field="4294967294" count="1" selected="0">
            <x v="0"/>
          </reference>
          <reference field="4" count="1" selected="0">
            <x v="1"/>
          </reference>
        </references>
      </pivotArea>
    </chartFormat>
    <chartFormat chart="60" format="5" series="1">
      <pivotArea type="data" outline="0" fieldPosition="0">
        <references count="2">
          <reference field="4294967294" count="1" selected="0">
            <x v="0"/>
          </reference>
          <reference field="4" count="1" selected="0">
            <x v="3"/>
          </reference>
        </references>
      </pivotArea>
    </chartFormat>
    <chartFormat chart="60" format="6" series="1">
      <pivotArea type="data" outline="0" fieldPosition="0">
        <references count="2">
          <reference field="4294967294" count="1" selected="0">
            <x v="0"/>
          </reference>
          <reference field="4" count="1" selected="0">
            <x v="4"/>
          </reference>
        </references>
      </pivotArea>
    </chartFormat>
    <chartFormat chart="60" format="7" series="1">
      <pivotArea type="data" outline="0" fieldPosition="0">
        <references count="2">
          <reference field="4294967294" count="1" selected="0">
            <x v="0"/>
          </reference>
          <reference field="4" count="1" selected="0">
            <x v="0"/>
          </reference>
        </references>
      </pivotArea>
    </chartFormat>
    <chartFormat chart="60" format="8" series="1">
      <pivotArea type="data" outline="0" fieldPosition="0">
        <references count="2">
          <reference field="4294967294" count="1" selected="0">
            <x v="0"/>
          </reference>
          <reference field="4" count="1" selected="0">
            <x v="2"/>
          </reference>
        </references>
      </pivotArea>
    </chartFormat>
    <chartFormat chart="60" format="9" series="1">
      <pivotArea type="data" outline="0" fieldPosition="0">
        <references count="2">
          <reference field="4294967294" count="1" selected="0">
            <x v="0"/>
          </reference>
          <reference field="4" count="1" selected="0">
            <x v="1"/>
          </reference>
        </references>
      </pivotArea>
    </chartFormat>
    <chartFormat chart="64" format="10" series="1">
      <pivotArea type="data" outline="0" fieldPosition="0">
        <references count="2">
          <reference field="4294967294" count="1" selected="0">
            <x v="0"/>
          </reference>
          <reference field="4" count="1" selected="0">
            <x v="3"/>
          </reference>
        </references>
      </pivotArea>
    </chartFormat>
    <chartFormat chart="64" format="11" series="1">
      <pivotArea type="data" outline="0" fieldPosition="0">
        <references count="2">
          <reference field="4294967294" count="1" selected="0">
            <x v="0"/>
          </reference>
          <reference field="4" count="1" selected="0">
            <x v="4"/>
          </reference>
        </references>
      </pivotArea>
    </chartFormat>
    <chartFormat chart="64" format="12" series="1">
      <pivotArea type="data" outline="0" fieldPosition="0">
        <references count="2">
          <reference field="4294967294" count="1" selected="0">
            <x v="0"/>
          </reference>
          <reference field="4" count="1" selected="0">
            <x v="0"/>
          </reference>
        </references>
      </pivotArea>
    </chartFormat>
    <chartFormat chart="64" format="13" series="1">
      <pivotArea type="data" outline="0" fieldPosition="0">
        <references count="2">
          <reference field="4294967294" count="1" selected="0">
            <x v="0"/>
          </reference>
          <reference field="4" count="1" selected="0">
            <x v="2"/>
          </reference>
        </references>
      </pivotArea>
    </chartFormat>
    <chartFormat chart="64" format="14" series="1">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3F117B6-1A5A-4688-9353-BB4E4199B21A}" name="PivotTable1"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9">
  <location ref="F4:G15" firstHeaderRow="1" firstDataRow="1" firstDataCol="1"/>
  <pivotFields count="11">
    <pivotField showAll="0"/>
    <pivotField numFmtId="164" showAll="0">
      <items count="82">
        <item x="66"/>
        <item x="65"/>
        <item x="45"/>
        <item x="22"/>
        <item x="67"/>
        <item x="51"/>
        <item x="48"/>
        <item x="34"/>
        <item x="54"/>
        <item x="1"/>
        <item x="14"/>
        <item x="5"/>
        <item x="44"/>
        <item x="46"/>
        <item x="25"/>
        <item x="57"/>
        <item x="24"/>
        <item x="68"/>
        <item x="52"/>
        <item x="17"/>
        <item x="7"/>
        <item x="76"/>
        <item x="11"/>
        <item x="18"/>
        <item x="12"/>
        <item x="37"/>
        <item x="55"/>
        <item x="56"/>
        <item x="77"/>
        <item x="71"/>
        <item x="60"/>
        <item x="64"/>
        <item x="70"/>
        <item x="23"/>
        <item x="4"/>
        <item x="74"/>
        <item x="78"/>
        <item x="47"/>
        <item x="13"/>
        <item x="20"/>
        <item x="49"/>
        <item x="39"/>
        <item x="8"/>
        <item x="16"/>
        <item x="69"/>
        <item x="9"/>
        <item x="75"/>
        <item x="63"/>
        <item x="61"/>
        <item x="42"/>
        <item x="79"/>
        <item x="28"/>
        <item x="38"/>
        <item x="53"/>
        <item x="50"/>
        <item x="30"/>
        <item x="40"/>
        <item x="10"/>
        <item x="43"/>
        <item x="59"/>
        <item x="29"/>
        <item x="3"/>
        <item x="32"/>
        <item x="0"/>
        <item x="80"/>
        <item x="21"/>
        <item x="31"/>
        <item x="58"/>
        <item x="35"/>
        <item x="15"/>
        <item x="27"/>
        <item x="19"/>
        <item x="33"/>
        <item x="62"/>
        <item x="36"/>
        <item x="2"/>
        <item x="72"/>
        <item x="73"/>
        <item x="41"/>
        <item x="26"/>
        <item x="6"/>
        <item t="default"/>
      </items>
    </pivotField>
    <pivotField axis="axisRow" showAll="0" sortType="descending">
      <items count="11">
        <item x="8"/>
        <item x="2"/>
        <item x="6"/>
        <item x="7"/>
        <item x="1"/>
        <item x="5"/>
        <item x="0"/>
        <item x="9"/>
        <item x="3"/>
        <item x="4"/>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11">
    <i>
      <x v="1"/>
    </i>
    <i>
      <x v="5"/>
    </i>
    <i>
      <x v="3"/>
    </i>
    <i>
      <x v="8"/>
    </i>
    <i>
      <x v="6"/>
    </i>
    <i>
      <x v="9"/>
    </i>
    <i>
      <x/>
    </i>
    <i>
      <x v="2"/>
    </i>
    <i>
      <x v="7"/>
    </i>
    <i>
      <x v="4"/>
    </i>
    <i t="grand">
      <x/>
    </i>
  </rowItems>
  <colItems count="1">
    <i/>
  </colItems>
  <dataFields count="1">
    <dataField name="Sum of Stock" fld="5" baseField="2" baseItem="0"/>
  </dataFields>
  <chartFormats count="2">
    <chartFormat chart="21" format="0" series="1">
      <pivotArea type="data" outline="0" fieldPosition="0">
        <references count="1">
          <reference field="4294967294" count="1" selected="0">
            <x v="0"/>
          </reference>
        </references>
      </pivotArea>
    </chartFormat>
    <chartFormat chart="2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01D9A1B8-2212-4F22-AA2D-5682E060C961}" sourceName="Category">
  <pivotTables>
    <pivotTable tabId="5" name="pvcategory"/>
    <pivotTable tabId="5" name="pvCatavalue"/>
    <pivotTable tabId="5" name="pvorder"/>
    <pivotTable tabId="5" name="pvmonth"/>
  </pivotTables>
  <data>
    <tabular pivotCacheId="957556908">
      <items count="5">
        <i x="1" s="1"/>
        <i x="2" s="1"/>
        <i x="4" s="1"/>
        <i x="3"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D5018CEA-C1B3-443A-A1AD-D29F5C929DD4}" cache="Slicer_Category" caption="Category"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52A2C8A-86A2-46CD-8504-86231E1926AA}" name="Table1" displayName="Table1" ref="A1:I101" totalsRowShown="0" headerRowDxfId="12" headerRowBorderDxfId="11" tableBorderDxfId="10" totalsRowBorderDxfId="9">
  <autoFilter ref="A1:I101" xr:uid="{452A2C8A-86A2-46CD-8504-86231E1926AA}"/>
  <tableColumns count="9">
    <tableColumn id="1" xr3:uid="{CC8665B9-AFC3-4C4E-8A21-D72064FE0761}" name="Product ID" dataDxfId="8"/>
    <tableColumn id="2" xr3:uid="{A4FA0F86-FDDB-4F1A-8814-06F6047E04F9}" name="Date" dataDxfId="7"/>
    <tableColumn id="3" xr3:uid="{960DEF39-D19B-4FB3-84A9-52B4BE791641}" name="Product" dataDxfId="6"/>
    <tableColumn id="4" xr3:uid="{55819DE7-306A-498F-826F-B3B5BDE9AD17}" name="Category" dataDxfId="5"/>
    <tableColumn id="5" xr3:uid="{E88542DD-1170-473F-907C-78428B9CDB6F}" name="Supplier" dataDxfId="4"/>
    <tableColumn id="6" xr3:uid="{6D62B749-937D-428C-A92D-57679164760B}" name="Stock" dataDxfId="3"/>
    <tableColumn id="7" xr3:uid="{C7020A34-B3F8-4535-AD4B-9F1140B7F266}" name="Reorder Level" dataDxfId="2"/>
    <tableColumn id="8" xr3:uid="{226B73CE-FD85-476E-932D-5F471B5AA110}" name="Unit Price" dataDxfId="1"/>
    <tableColumn id="9" xr3:uid="{F63FF385-6017-45DD-A8B4-64366169C8B6}" name="Stock Value" dataDxfId="0">
      <calculatedColumnFormula>F2*H2</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Yellow">
      <a:dk1>
        <a:sysClr val="windowText" lastClr="000000"/>
      </a:dk1>
      <a:lt1>
        <a:sysClr val="window" lastClr="FFFFFF"/>
      </a:lt1>
      <a:dk2>
        <a:srgbClr val="39302A"/>
      </a:dk2>
      <a:lt2>
        <a:srgbClr val="E5DEDB"/>
      </a:lt2>
      <a:accent1>
        <a:srgbClr val="FFCA08"/>
      </a:accent1>
      <a:accent2>
        <a:srgbClr val="F8931D"/>
      </a:accent2>
      <a:accent3>
        <a:srgbClr val="CE8D3E"/>
      </a:accent3>
      <a:accent4>
        <a:srgbClr val="EC7016"/>
      </a:accent4>
      <a:accent5>
        <a:srgbClr val="E64823"/>
      </a:accent5>
      <a:accent6>
        <a:srgbClr val="9C6A6A"/>
      </a:accent6>
      <a:hlink>
        <a:srgbClr val="2998E3"/>
      </a:hlink>
      <a:folHlink>
        <a:srgbClr val="7F723D"/>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9.xml"/><Relationship Id="rId2" Type="http://schemas.openxmlformats.org/officeDocument/2006/relationships/pivotTable" Target="../pivotTables/pivotTable8.xml"/><Relationship Id="rId1" Type="http://schemas.openxmlformats.org/officeDocument/2006/relationships/pivotTable" Target="../pivotTables/pivotTable7.xml"/><Relationship Id="rId4"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8841B5-C295-4BCF-B2B4-D40B93D2CE98}">
  <dimension ref="A3:J62"/>
  <sheetViews>
    <sheetView topLeftCell="A26" workbookViewId="0">
      <selection activeCell="A35" sqref="A35"/>
    </sheetView>
  </sheetViews>
  <sheetFormatPr defaultRowHeight="14.4" x14ac:dyDescent="0.3"/>
  <cols>
    <col min="1" max="1" width="12.5546875" bestFit="1" customWidth="1"/>
    <col min="2" max="2" width="17.5546875" bestFit="1" customWidth="1"/>
    <col min="3" max="3" width="15.6640625" bestFit="1" customWidth="1"/>
    <col min="4" max="4" width="15.77734375" bestFit="1" customWidth="1"/>
    <col min="7" max="7" width="16.88671875" customWidth="1"/>
    <col min="8" max="8" width="13" customWidth="1"/>
    <col min="9" max="9" width="12.6640625" customWidth="1"/>
    <col min="10" max="10" width="12.88671875" customWidth="1"/>
  </cols>
  <sheetData>
    <row r="3" spans="1:10" x14ac:dyDescent="0.3">
      <c r="A3" t="s">
        <v>129</v>
      </c>
      <c r="B3" t="s">
        <v>135</v>
      </c>
      <c r="C3" t="s">
        <v>160</v>
      </c>
      <c r="D3" t="s">
        <v>159</v>
      </c>
      <c r="G3" t="s">
        <v>161</v>
      </c>
      <c r="H3" t="s">
        <v>162</v>
      </c>
      <c r="I3" t="s">
        <v>163</v>
      </c>
      <c r="J3" t="s">
        <v>149</v>
      </c>
    </row>
    <row r="4" spans="1:10" x14ac:dyDescent="0.3">
      <c r="A4" s="24">
        <v>305632003</v>
      </c>
      <c r="B4" s="24">
        <v>10141</v>
      </c>
      <c r="C4" s="24">
        <v>29562.92</v>
      </c>
      <c r="D4" s="24">
        <v>100</v>
      </c>
      <c r="G4" s="25">
        <f>A4</f>
        <v>305632003</v>
      </c>
      <c r="H4" t="str">
        <f>TEXT(B4,"#,##")</f>
        <v>10,141</v>
      </c>
      <c r="I4" t="str">
        <f>TEXT(C4,"0.0")</f>
        <v>29562.9</v>
      </c>
      <c r="J4" t="str">
        <f>TEXT(5,"#,##")</f>
        <v>5</v>
      </c>
    </row>
    <row r="8" spans="1:10" x14ac:dyDescent="0.3">
      <c r="A8" s="10" t="s">
        <v>133</v>
      </c>
      <c r="B8" t="s">
        <v>129</v>
      </c>
    </row>
    <row r="9" spans="1:10" x14ac:dyDescent="0.3">
      <c r="A9" s="11" t="s">
        <v>18</v>
      </c>
      <c r="B9" s="24">
        <v>71923132</v>
      </c>
    </row>
    <row r="10" spans="1:10" x14ac:dyDescent="0.3">
      <c r="A10" s="11" t="s">
        <v>32</v>
      </c>
      <c r="B10" s="24">
        <v>42162783</v>
      </c>
    </row>
    <row r="11" spans="1:10" x14ac:dyDescent="0.3">
      <c r="A11" s="11" t="s">
        <v>29</v>
      </c>
      <c r="B11" s="24">
        <v>35674704</v>
      </c>
    </row>
    <row r="12" spans="1:10" x14ac:dyDescent="0.3">
      <c r="A12" s="11" t="s">
        <v>22</v>
      </c>
      <c r="B12" s="24">
        <v>30983489</v>
      </c>
    </row>
    <row r="13" spans="1:10" x14ac:dyDescent="0.3">
      <c r="A13" s="11" t="s">
        <v>10</v>
      </c>
      <c r="B13" s="24">
        <v>28023518</v>
      </c>
    </row>
    <row r="14" spans="1:10" x14ac:dyDescent="0.3">
      <c r="A14" s="11" t="s">
        <v>49</v>
      </c>
      <c r="B14" s="24">
        <v>20838111</v>
      </c>
    </row>
    <row r="15" spans="1:10" x14ac:dyDescent="0.3">
      <c r="A15" s="11" t="s">
        <v>43</v>
      </c>
      <c r="B15" s="24">
        <v>20707876</v>
      </c>
    </row>
    <row r="16" spans="1:10" x14ac:dyDescent="0.3">
      <c r="A16" s="11" t="s">
        <v>14</v>
      </c>
      <c r="B16" s="24">
        <v>19417934</v>
      </c>
    </row>
    <row r="17" spans="1:3" x14ac:dyDescent="0.3">
      <c r="A17" s="11" t="s">
        <v>37</v>
      </c>
      <c r="B17" s="24">
        <v>19005631</v>
      </c>
    </row>
    <row r="18" spans="1:3" x14ac:dyDescent="0.3">
      <c r="A18" s="11" t="s">
        <v>35</v>
      </c>
      <c r="B18" s="24">
        <v>16894825</v>
      </c>
    </row>
    <row r="19" spans="1:3" x14ac:dyDescent="0.3">
      <c r="A19" s="11" t="s">
        <v>134</v>
      </c>
      <c r="B19" s="24">
        <v>305632003</v>
      </c>
    </row>
    <row r="22" spans="1:3" x14ac:dyDescent="0.3">
      <c r="A22" s="10" t="s">
        <v>133</v>
      </c>
      <c r="B22" t="s">
        <v>129</v>
      </c>
      <c r="C22" t="s">
        <v>130</v>
      </c>
    </row>
    <row r="23" spans="1:3" x14ac:dyDescent="0.3">
      <c r="A23" s="11" t="s">
        <v>15</v>
      </c>
      <c r="B23" s="24">
        <v>97481173</v>
      </c>
      <c r="C23" s="24">
        <v>984798</v>
      </c>
    </row>
    <row r="24" spans="1:3" x14ac:dyDescent="0.3">
      <c r="A24" s="11" t="s">
        <v>19</v>
      </c>
      <c r="B24" s="24">
        <v>92631008</v>
      </c>
      <c r="C24" s="24">
        <v>780997</v>
      </c>
    </row>
    <row r="25" spans="1:3" x14ac:dyDescent="0.3">
      <c r="A25" s="11" t="s">
        <v>11</v>
      </c>
      <c r="B25" s="24">
        <v>48861629</v>
      </c>
      <c r="C25" s="24">
        <v>591605</v>
      </c>
    </row>
    <row r="26" spans="1:3" x14ac:dyDescent="0.3">
      <c r="A26" s="11" t="s">
        <v>30</v>
      </c>
      <c r="B26" s="24">
        <v>35674704</v>
      </c>
      <c r="C26" s="24">
        <v>326104</v>
      </c>
    </row>
    <row r="27" spans="1:3" x14ac:dyDescent="0.3">
      <c r="A27" s="11" t="s">
        <v>23</v>
      </c>
      <c r="B27" s="24">
        <v>30983489</v>
      </c>
      <c r="C27" s="24">
        <v>272788</v>
      </c>
    </row>
    <row r="28" spans="1:3" x14ac:dyDescent="0.3">
      <c r="A28" s="11" t="s">
        <v>134</v>
      </c>
      <c r="B28" s="24">
        <v>305632003</v>
      </c>
      <c r="C28" s="24">
        <v>2956292</v>
      </c>
    </row>
    <row r="29" spans="1:3" x14ac:dyDescent="0.3">
      <c r="A29" s="10" t="s">
        <v>3</v>
      </c>
      <c r="B29" t="s">
        <v>166</v>
      </c>
    </row>
    <row r="31" spans="1:3" x14ac:dyDescent="0.3">
      <c r="A31" s="10" t="s">
        <v>133</v>
      </c>
      <c r="B31" t="s">
        <v>129</v>
      </c>
    </row>
    <row r="32" spans="1:3" x14ac:dyDescent="0.3">
      <c r="A32" s="11" t="s">
        <v>20</v>
      </c>
      <c r="B32" s="24">
        <v>87342034</v>
      </c>
    </row>
    <row r="33" spans="1:3" x14ac:dyDescent="0.3">
      <c r="A33" s="11" t="s">
        <v>16</v>
      </c>
      <c r="B33" s="24">
        <v>67025586</v>
      </c>
    </row>
    <row r="34" spans="1:3" x14ac:dyDescent="0.3">
      <c r="A34" s="11" t="s">
        <v>24</v>
      </c>
      <c r="B34" s="24">
        <v>59248006</v>
      </c>
    </row>
    <row r="35" spans="1:3" x14ac:dyDescent="0.3">
      <c r="A35" s="11" t="s">
        <v>12</v>
      </c>
      <c r="B35" s="24">
        <v>49660261</v>
      </c>
    </row>
    <row r="36" spans="1:3" x14ac:dyDescent="0.3">
      <c r="A36" s="11" t="s">
        <v>33</v>
      </c>
      <c r="B36" s="24">
        <v>42356116</v>
      </c>
    </row>
    <row r="37" spans="1:3" x14ac:dyDescent="0.3">
      <c r="A37" s="11" t="s">
        <v>134</v>
      </c>
      <c r="B37" s="24">
        <v>305632003</v>
      </c>
    </row>
    <row r="40" spans="1:3" x14ac:dyDescent="0.3">
      <c r="A40" s="10" t="s">
        <v>133</v>
      </c>
      <c r="B40" t="s">
        <v>135</v>
      </c>
      <c r="C40" t="s">
        <v>165</v>
      </c>
    </row>
    <row r="41" spans="1:3" x14ac:dyDescent="0.3">
      <c r="A41" s="11" t="s">
        <v>139</v>
      </c>
      <c r="B41" s="24">
        <v>903</v>
      </c>
      <c r="C41" s="24">
        <v>10</v>
      </c>
    </row>
    <row r="42" spans="1:3" x14ac:dyDescent="0.3">
      <c r="A42" s="11" t="s">
        <v>140</v>
      </c>
      <c r="B42" s="24">
        <v>1132</v>
      </c>
      <c r="C42" s="24">
        <v>12</v>
      </c>
    </row>
    <row r="43" spans="1:3" x14ac:dyDescent="0.3">
      <c r="A43" s="11" t="s">
        <v>141</v>
      </c>
      <c r="B43" s="24">
        <v>1152</v>
      </c>
      <c r="C43" s="24">
        <v>11</v>
      </c>
    </row>
    <row r="44" spans="1:3" x14ac:dyDescent="0.3">
      <c r="A44" s="11" t="s">
        <v>138</v>
      </c>
      <c r="B44" s="24">
        <v>1532</v>
      </c>
      <c r="C44" s="24">
        <v>13</v>
      </c>
    </row>
    <row r="45" spans="1:3" x14ac:dyDescent="0.3">
      <c r="A45" s="11" t="s">
        <v>144</v>
      </c>
      <c r="B45" s="24">
        <v>1696</v>
      </c>
      <c r="C45" s="24">
        <v>19</v>
      </c>
    </row>
    <row r="46" spans="1:3" x14ac:dyDescent="0.3">
      <c r="A46" s="11" t="s">
        <v>143</v>
      </c>
      <c r="B46" s="24">
        <v>1772</v>
      </c>
      <c r="C46" s="24">
        <v>17</v>
      </c>
    </row>
    <row r="47" spans="1:3" x14ac:dyDescent="0.3">
      <c r="A47" s="11" t="s">
        <v>142</v>
      </c>
      <c r="B47" s="24">
        <v>1954</v>
      </c>
      <c r="C47" s="24">
        <v>18</v>
      </c>
    </row>
    <row r="48" spans="1:3" x14ac:dyDescent="0.3">
      <c r="A48" s="11" t="s">
        <v>134</v>
      </c>
      <c r="B48" s="24">
        <v>10141</v>
      </c>
      <c r="C48" s="24">
        <v>100</v>
      </c>
    </row>
    <row r="51" spans="1:4" x14ac:dyDescent="0.3">
      <c r="A51" s="10" t="s">
        <v>133</v>
      </c>
      <c r="B51" t="s">
        <v>164</v>
      </c>
      <c r="C51" t="s">
        <v>130</v>
      </c>
      <c r="D51" t="s">
        <v>165</v>
      </c>
    </row>
    <row r="52" spans="1:4" x14ac:dyDescent="0.3">
      <c r="A52" s="11" t="s">
        <v>18</v>
      </c>
      <c r="B52" s="24">
        <v>15</v>
      </c>
      <c r="C52" s="24">
        <v>620367</v>
      </c>
      <c r="D52" s="24">
        <v>15</v>
      </c>
    </row>
    <row r="53" spans="1:4" x14ac:dyDescent="0.3">
      <c r="A53" s="11" t="s">
        <v>32</v>
      </c>
      <c r="B53" s="24">
        <v>14</v>
      </c>
      <c r="C53" s="24">
        <v>337994</v>
      </c>
      <c r="D53" s="24">
        <v>14</v>
      </c>
    </row>
    <row r="54" spans="1:4" x14ac:dyDescent="0.3">
      <c r="A54" s="11" t="s">
        <v>10</v>
      </c>
      <c r="B54" s="24">
        <v>12</v>
      </c>
      <c r="C54" s="24">
        <v>318665</v>
      </c>
      <c r="D54" s="24">
        <v>12</v>
      </c>
    </row>
    <row r="55" spans="1:4" x14ac:dyDescent="0.3">
      <c r="A55" s="11" t="s">
        <v>37</v>
      </c>
      <c r="B55" s="24">
        <v>11</v>
      </c>
      <c r="C55" s="24">
        <v>221576</v>
      </c>
      <c r="D55" s="24">
        <v>11</v>
      </c>
    </row>
    <row r="56" spans="1:4" x14ac:dyDescent="0.3">
      <c r="A56" s="11" t="s">
        <v>22</v>
      </c>
      <c r="B56" s="24">
        <v>10</v>
      </c>
      <c r="C56" s="24">
        <v>272788</v>
      </c>
      <c r="D56" s="24">
        <v>10</v>
      </c>
    </row>
    <row r="57" spans="1:4" x14ac:dyDescent="0.3">
      <c r="A57" s="11" t="s">
        <v>29</v>
      </c>
      <c r="B57" s="24">
        <v>9</v>
      </c>
      <c r="C57" s="24">
        <v>326104</v>
      </c>
      <c r="D57" s="24">
        <v>9</v>
      </c>
    </row>
    <row r="58" spans="1:4" x14ac:dyDescent="0.3">
      <c r="A58" s="11" t="s">
        <v>49</v>
      </c>
      <c r="B58" s="24">
        <v>8</v>
      </c>
      <c r="C58" s="24">
        <v>272940</v>
      </c>
      <c r="D58" s="24">
        <v>8</v>
      </c>
    </row>
    <row r="59" spans="1:4" x14ac:dyDescent="0.3">
      <c r="A59" s="11" t="s">
        <v>35</v>
      </c>
      <c r="B59" s="24">
        <v>8</v>
      </c>
      <c r="C59" s="24">
        <v>198420</v>
      </c>
      <c r="D59" s="24">
        <v>8</v>
      </c>
    </row>
    <row r="60" spans="1:4" x14ac:dyDescent="0.3">
      <c r="A60" s="11" t="s">
        <v>43</v>
      </c>
      <c r="B60" s="24">
        <v>7</v>
      </c>
      <c r="C60" s="24">
        <v>160630</v>
      </c>
      <c r="D60" s="24">
        <v>7</v>
      </c>
    </row>
    <row r="61" spans="1:4" x14ac:dyDescent="0.3">
      <c r="A61" s="11" t="s">
        <v>14</v>
      </c>
      <c r="B61" s="24">
        <v>6</v>
      </c>
      <c r="C61" s="24">
        <v>226808</v>
      </c>
      <c r="D61" s="24">
        <v>6</v>
      </c>
    </row>
    <row r="62" spans="1:4" x14ac:dyDescent="0.3">
      <c r="A62" s="11" t="s">
        <v>134</v>
      </c>
      <c r="B62" s="24">
        <v>100</v>
      </c>
      <c r="C62" s="24">
        <v>2956292</v>
      </c>
      <c r="D62" s="24">
        <v>100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7BED7D-AEB0-4F20-B440-D6EDB706D181}">
  <dimension ref="A1"/>
  <sheetViews>
    <sheetView tabSelected="1" zoomScale="63" workbookViewId="0">
      <selection activeCell="Y10" sqref="Y10"/>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01"/>
  <sheetViews>
    <sheetView zoomScaleNormal="100" workbookViewId="0">
      <selection activeCell="J7" sqref="J7"/>
    </sheetView>
  </sheetViews>
  <sheetFormatPr defaultRowHeight="14.4" x14ac:dyDescent="0.3"/>
  <cols>
    <col min="1" max="1" width="11.77734375" customWidth="1"/>
    <col min="2" max="2" width="15.109375" style="15" bestFit="1" customWidth="1"/>
    <col min="3" max="3" width="9.5546875" customWidth="1"/>
    <col min="4" max="4" width="10.44140625" bestFit="1" customWidth="1"/>
    <col min="5" max="5" width="13.33203125" bestFit="1" customWidth="1"/>
    <col min="6" max="6" width="7.33203125" customWidth="1"/>
    <col min="7" max="7" width="14.33203125" customWidth="1"/>
    <col min="8" max="8" width="11" customWidth="1"/>
    <col min="9" max="9" width="12.77734375" customWidth="1"/>
    <col min="12" max="12" width="17.5546875" bestFit="1" customWidth="1"/>
    <col min="13" max="13" width="15.6640625" bestFit="1" customWidth="1"/>
    <col min="14" max="14" width="17.44140625" bestFit="1" customWidth="1"/>
    <col min="15" max="15" width="17" bestFit="1" customWidth="1"/>
  </cols>
  <sheetData>
    <row r="1" spans="1:15" x14ac:dyDescent="0.3">
      <c r="A1" s="4" t="s">
        <v>0</v>
      </c>
      <c r="B1" s="12" t="s">
        <v>1</v>
      </c>
      <c r="C1" s="5" t="s">
        <v>2</v>
      </c>
      <c r="D1" s="5" t="s">
        <v>3</v>
      </c>
      <c r="E1" s="5" t="s">
        <v>4</v>
      </c>
      <c r="F1" s="5" t="s">
        <v>5</v>
      </c>
      <c r="G1" s="5" t="s">
        <v>6</v>
      </c>
      <c r="H1" s="5" t="s">
        <v>7</v>
      </c>
      <c r="I1" s="6" t="s">
        <v>8</v>
      </c>
    </row>
    <row r="2" spans="1:15" x14ac:dyDescent="0.3">
      <c r="A2" s="2" t="s">
        <v>9</v>
      </c>
      <c r="B2" s="13">
        <v>46199</v>
      </c>
      <c r="C2" s="1" t="s">
        <v>10</v>
      </c>
      <c r="D2" s="1" t="s">
        <v>11</v>
      </c>
      <c r="E2" s="1" t="s">
        <v>12</v>
      </c>
      <c r="F2" s="1">
        <v>149</v>
      </c>
      <c r="G2" s="1">
        <v>40</v>
      </c>
      <c r="H2" s="1">
        <v>49348</v>
      </c>
      <c r="I2" s="3">
        <f t="shared" ref="I2:I33" si="0">F2*H2</f>
        <v>7352852</v>
      </c>
    </row>
    <row r="3" spans="1:15" x14ac:dyDescent="0.3">
      <c r="A3" s="2" t="s">
        <v>13</v>
      </c>
      <c r="B3" s="13">
        <v>46046</v>
      </c>
      <c r="C3" s="1" t="s">
        <v>14</v>
      </c>
      <c r="D3" s="1" t="s">
        <v>15</v>
      </c>
      <c r="E3" s="1" t="s">
        <v>16</v>
      </c>
      <c r="F3" s="1">
        <v>94</v>
      </c>
      <c r="G3" s="1">
        <v>50</v>
      </c>
      <c r="H3" s="1">
        <v>59746</v>
      </c>
      <c r="I3" s="3">
        <f t="shared" si="0"/>
        <v>5616124</v>
      </c>
    </row>
    <row r="4" spans="1:15" x14ac:dyDescent="0.3">
      <c r="A4" s="2" t="s">
        <v>17</v>
      </c>
      <c r="B4" s="13">
        <v>46220</v>
      </c>
      <c r="C4" s="1" t="s">
        <v>18</v>
      </c>
      <c r="D4" s="1" t="s">
        <v>19</v>
      </c>
      <c r="E4" s="1" t="s">
        <v>20</v>
      </c>
      <c r="F4" s="1">
        <v>171</v>
      </c>
      <c r="G4" s="1">
        <v>50</v>
      </c>
      <c r="H4" s="1">
        <v>54587</v>
      </c>
      <c r="I4" s="3">
        <f t="shared" si="0"/>
        <v>9334377</v>
      </c>
    </row>
    <row r="5" spans="1:15" x14ac:dyDescent="0.3">
      <c r="A5" s="2" t="s">
        <v>21</v>
      </c>
      <c r="B5" s="13">
        <v>46188</v>
      </c>
      <c r="C5" s="1" t="s">
        <v>22</v>
      </c>
      <c r="D5" s="1" t="s">
        <v>23</v>
      </c>
      <c r="E5" s="1" t="s">
        <v>24</v>
      </c>
      <c r="F5" s="1">
        <v>38</v>
      </c>
      <c r="G5" s="1">
        <v>10</v>
      </c>
      <c r="H5" s="1">
        <v>29915</v>
      </c>
      <c r="I5" s="3">
        <f t="shared" si="0"/>
        <v>1136770</v>
      </c>
    </row>
    <row r="6" spans="1:15" x14ac:dyDescent="0.3">
      <c r="A6" s="2" t="s">
        <v>25</v>
      </c>
      <c r="B6" s="13">
        <v>46135</v>
      </c>
      <c r="C6" s="1" t="s">
        <v>22</v>
      </c>
      <c r="D6" s="1" t="s">
        <v>23</v>
      </c>
      <c r="E6" s="1" t="s">
        <v>12</v>
      </c>
      <c r="F6" s="1">
        <v>85</v>
      </c>
      <c r="G6" s="1">
        <v>20</v>
      </c>
      <c r="H6" s="1">
        <v>25574</v>
      </c>
      <c r="I6" s="3">
        <f t="shared" si="0"/>
        <v>2173790</v>
      </c>
      <c r="L6" s="17"/>
      <c r="M6" s="17"/>
      <c r="N6" s="17"/>
      <c r="O6" s="17"/>
    </row>
    <row r="7" spans="1:15" x14ac:dyDescent="0.3">
      <c r="A7" s="2" t="s">
        <v>26</v>
      </c>
      <c r="B7" s="13">
        <v>46052</v>
      </c>
      <c r="C7" s="1" t="s">
        <v>22</v>
      </c>
      <c r="D7" s="1" t="s">
        <v>23</v>
      </c>
      <c r="E7" s="1" t="s">
        <v>20</v>
      </c>
      <c r="F7" s="1">
        <v>119</v>
      </c>
      <c r="G7" s="1">
        <v>50</v>
      </c>
      <c r="H7" s="1">
        <v>50511</v>
      </c>
      <c r="I7" s="3">
        <f t="shared" si="0"/>
        <v>6010809</v>
      </c>
      <c r="L7" s="21"/>
      <c r="M7" s="21"/>
      <c r="N7" s="21"/>
      <c r="O7" s="21"/>
    </row>
    <row r="8" spans="1:15" x14ac:dyDescent="0.3">
      <c r="A8" s="2" t="s">
        <v>27</v>
      </c>
      <c r="B8" s="13">
        <v>46231</v>
      </c>
      <c r="C8" s="1" t="s">
        <v>18</v>
      </c>
      <c r="D8" s="1" t="s">
        <v>19</v>
      </c>
      <c r="E8" s="1" t="s">
        <v>24</v>
      </c>
      <c r="F8" s="1">
        <v>59</v>
      </c>
      <c r="G8" s="1">
        <v>50</v>
      </c>
      <c r="H8" s="1">
        <v>48803</v>
      </c>
      <c r="I8" s="3">
        <f t="shared" si="0"/>
        <v>2879377</v>
      </c>
      <c r="L8" s="22"/>
      <c r="M8" s="22"/>
      <c r="N8" s="23"/>
      <c r="O8" s="23"/>
    </row>
    <row r="9" spans="1:15" x14ac:dyDescent="0.3">
      <c r="A9" s="2" t="s">
        <v>28</v>
      </c>
      <c r="B9" s="13">
        <v>46082</v>
      </c>
      <c r="C9" s="1" t="s">
        <v>29</v>
      </c>
      <c r="D9" s="1" t="s">
        <v>30</v>
      </c>
      <c r="E9" s="1" t="s">
        <v>20</v>
      </c>
      <c r="F9" s="1">
        <v>116</v>
      </c>
      <c r="G9" s="1">
        <v>40</v>
      </c>
      <c r="H9" s="1">
        <v>28320</v>
      </c>
      <c r="I9" s="3">
        <f t="shared" si="0"/>
        <v>3285120</v>
      </c>
      <c r="L9" s="17"/>
      <c r="M9" s="17"/>
      <c r="N9" s="17"/>
      <c r="O9" s="17"/>
    </row>
    <row r="10" spans="1:15" x14ac:dyDescent="0.3">
      <c r="A10" s="2" t="s">
        <v>31</v>
      </c>
      <c r="B10" s="13">
        <v>46152</v>
      </c>
      <c r="C10" s="1" t="s">
        <v>32</v>
      </c>
      <c r="D10" s="1" t="s">
        <v>15</v>
      </c>
      <c r="E10" s="1" t="s">
        <v>33</v>
      </c>
      <c r="F10" s="1">
        <v>200</v>
      </c>
      <c r="G10" s="1">
        <v>40</v>
      </c>
      <c r="H10" s="1">
        <v>13237</v>
      </c>
      <c r="I10" s="3">
        <f t="shared" si="0"/>
        <v>2647400</v>
      </c>
    </row>
    <row r="11" spans="1:15" x14ac:dyDescent="0.3">
      <c r="A11" s="2" t="s">
        <v>34</v>
      </c>
      <c r="B11" s="13">
        <v>46156</v>
      </c>
      <c r="C11" s="1" t="s">
        <v>35</v>
      </c>
      <c r="D11" s="1" t="s">
        <v>15</v>
      </c>
      <c r="E11" s="1" t="s">
        <v>20</v>
      </c>
      <c r="F11" s="1">
        <v>200</v>
      </c>
      <c r="G11" s="1">
        <v>30</v>
      </c>
      <c r="H11" s="1">
        <v>34709</v>
      </c>
      <c r="I11" s="3">
        <f t="shared" si="0"/>
        <v>6941800</v>
      </c>
    </row>
    <row r="12" spans="1:15" x14ac:dyDescent="0.3">
      <c r="A12" s="2" t="s">
        <v>36</v>
      </c>
      <c r="B12" s="13">
        <v>46182</v>
      </c>
      <c r="C12" s="1" t="s">
        <v>37</v>
      </c>
      <c r="D12" s="1" t="s">
        <v>15</v>
      </c>
      <c r="E12" s="1" t="s">
        <v>24</v>
      </c>
      <c r="F12" s="1">
        <v>147</v>
      </c>
      <c r="G12" s="1">
        <v>40</v>
      </c>
      <c r="H12" s="1">
        <v>1213</v>
      </c>
      <c r="I12" s="3">
        <f t="shared" si="0"/>
        <v>178311</v>
      </c>
    </row>
    <row r="13" spans="1:15" x14ac:dyDescent="0.3">
      <c r="A13" s="2" t="s">
        <v>38</v>
      </c>
      <c r="B13" s="13">
        <v>46152</v>
      </c>
      <c r="C13" s="1" t="s">
        <v>32</v>
      </c>
      <c r="D13" s="1" t="s">
        <v>15</v>
      </c>
      <c r="E13" s="1" t="s">
        <v>24</v>
      </c>
      <c r="F13" s="1">
        <v>65</v>
      </c>
      <c r="G13" s="1">
        <v>20</v>
      </c>
      <c r="H13" s="1">
        <v>10170</v>
      </c>
      <c r="I13" s="3">
        <f t="shared" si="0"/>
        <v>661050</v>
      </c>
    </row>
    <row r="14" spans="1:15" x14ac:dyDescent="0.3">
      <c r="A14" s="2" t="s">
        <v>39</v>
      </c>
      <c r="B14" s="13">
        <v>46086</v>
      </c>
      <c r="C14" s="1" t="s">
        <v>32</v>
      </c>
      <c r="D14" s="1" t="s">
        <v>15</v>
      </c>
      <c r="E14" s="1" t="s">
        <v>20</v>
      </c>
      <c r="F14" s="1">
        <v>183</v>
      </c>
      <c r="G14" s="1">
        <v>50</v>
      </c>
      <c r="H14" s="1">
        <v>58346</v>
      </c>
      <c r="I14" s="3">
        <f t="shared" si="0"/>
        <v>10677318</v>
      </c>
    </row>
    <row r="15" spans="1:15" x14ac:dyDescent="0.3">
      <c r="A15" s="2" t="s">
        <v>40</v>
      </c>
      <c r="B15" s="13">
        <v>46094</v>
      </c>
      <c r="C15" s="1" t="s">
        <v>14</v>
      </c>
      <c r="D15" s="1" t="s">
        <v>15</v>
      </c>
      <c r="E15" s="1" t="s">
        <v>24</v>
      </c>
      <c r="F15" s="1">
        <v>20</v>
      </c>
      <c r="G15" s="1">
        <v>20</v>
      </c>
      <c r="H15" s="1">
        <v>19348</v>
      </c>
      <c r="I15" s="3">
        <f t="shared" si="0"/>
        <v>386960</v>
      </c>
    </row>
    <row r="16" spans="1:15" x14ac:dyDescent="0.3">
      <c r="A16" s="2" t="s">
        <v>41</v>
      </c>
      <c r="B16" s="13">
        <v>46143</v>
      </c>
      <c r="C16" s="1" t="s">
        <v>22</v>
      </c>
      <c r="D16" s="1" t="s">
        <v>23</v>
      </c>
      <c r="E16" s="1" t="s">
        <v>16</v>
      </c>
      <c r="F16" s="1">
        <v>99</v>
      </c>
      <c r="G16" s="1">
        <v>10</v>
      </c>
      <c r="H16" s="1">
        <v>15522</v>
      </c>
      <c r="I16" s="3">
        <f t="shared" si="0"/>
        <v>1536678</v>
      </c>
    </row>
    <row r="17" spans="1:9" x14ac:dyDescent="0.3">
      <c r="A17" s="2" t="s">
        <v>42</v>
      </c>
      <c r="B17" s="13">
        <v>46048</v>
      </c>
      <c r="C17" s="1" t="s">
        <v>43</v>
      </c>
      <c r="D17" s="1" t="s">
        <v>19</v>
      </c>
      <c r="E17" s="1" t="s">
        <v>16</v>
      </c>
      <c r="F17" s="1">
        <v>183</v>
      </c>
      <c r="G17" s="1">
        <v>30</v>
      </c>
      <c r="H17" s="1">
        <v>40667</v>
      </c>
      <c r="I17" s="3">
        <f t="shared" si="0"/>
        <v>7442061</v>
      </c>
    </row>
    <row r="18" spans="1:9" x14ac:dyDescent="0.3">
      <c r="A18" s="2" t="s">
        <v>44</v>
      </c>
      <c r="B18" s="13">
        <v>46207</v>
      </c>
      <c r="C18" s="1" t="s">
        <v>10</v>
      </c>
      <c r="D18" s="1" t="s">
        <v>11</v>
      </c>
      <c r="E18" s="1" t="s">
        <v>24</v>
      </c>
      <c r="F18" s="1">
        <v>24</v>
      </c>
      <c r="G18" s="1">
        <v>30</v>
      </c>
      <c r="H18" s="1">
        <v>38602</v>
      </c>
      <c r="I18" s="3">
        <f t="shared" si="0"/>
        <v>926448</v>
      </c>
    </row>
    <row r="19" spans="1:9" x14ac:dyDescent="0.3">
      <c r="A19" s="2" t="s">
        <v>45</v>
      </c>
      <c r="B19" s="13">
        <v>46153</v>
      </c>
      <c r="C19" s="1" t="s">
        <v>22</v>
      </c>
      <c r="D19" s="1" t="s">
        <v>23</v>
      </c>
      <c r="E19" s="1" t="s">
        <v>24</v>
      </c>
      <c r="F19" s="1">
        <v>30</v>
      </c>
      <c r="G19" s="1">
        <v>10</v>
      </c>
      <c r="H19" s="1">
        <v>20601</v>
      </c>
      <c r="I19" s="3">
        <f t="shared" si="0"/>
        <v>618030</v>
      </c>
    </row>
    <row r="20" spans="1:9" x14ac:dyDescent="0.3">
      <c r="A20" s="2" t="s">
        <v>46</v>
      </c>
      <c r="B20" s="13">
        <v>46078</v>
      </c>
      <c r="C20" s="1" t="s">
        <v>37</v>
      </c>
      <c r="D20" s="1" t="s">
        <v>15</v>
      </c>
      <c r="E20" s="1" t="s">
        <v>20</v>
      </c>
      <c r="F20" s="1">
        <v>171</v>
      </c>
      <c r="G20" s="1">
        <v>50</v>
      </c>
      <c r="H20" s="1">
        <v>16643</v>
      </c>
      <c r="I20" s="3">
        <f t="shared" si="0"/>
        <v>2845953</v>
      </c>
    </row>
    <row r="21" spans="1:9" x14ac:dyDescent="0.3">
      <c r="A21" s="2" t="s">
        <v>47</v>
      </c>
      <c r="B21" s="13">
        <v>46089</v>
      </c>
      <c r="C21" s="1" t="s">
        <v>22</v>
      </c>
      <c r="D21" s="1" t="s">
        <v>23</v>
      </c>
      <c r="E21" s="1" t="s">
        <v>16</v>
      </c>
      <c r="F21" s="1">
        <v>166</v>
      </c>
      <c r="G21" s="1">
        <v>30</v>
      </c>
      <c r="H21" s="1">
        <v>4637</v>
      </c>
      <c r="I21" s="3">
        <f t="shared" si="0"/>
        <v>769742</v>
      </c>
    </row>
    <row r="22" spans="1:9" x14ac:dyDescent="0.3">
      <c r="A22" s="2" t="s">
        <v>48</v>
      </c>
      <c r="B22" s="13">
        <v>46210</v>
      </c>
      <c r="C22" s="1" t="s">
        <v>49</v>
      </c>
      <c r="D22" s="1" t="s">
        <v>11</v>
      </c>
      <c r="E22" s="1" t="s">
        <v>33</v>
      </c>
      <c r="F22" s="1">
        <v>21</v>
      </c>
      <c r="G22" s="1">
        <v>10</v>
      </c>
      <c r="H22" s="1">
        <v>50141</v>
      </c>
      <c r="I22" s="3">
        <f t="shared" si="0"/>
        <v>1052961</v>
      </c>
    </row>
    <row r="23" spans="1:9" x14ac:dyDescent="0.3">
      <c r="A23" s="2" t="s">
        <v>50</v>
      </c>
      <c r="B23" s="13">
        <v>46144</v>
      </c>
      <c r="C23" s="1" t="s">
        <v>32</v>
      </c>
      <c r="D23" s="1" t="s">
        <v>15</v>
      </c>
      <c r="E23" s="1" t="s">
        <v>16</v>
      </c>
      <c r="F23" s="1">
        <v>32</v>
      </c>
      <c r="G23" s="1">
        <v>10</v>
      </c>
      <c r="H23" s="1">
        <v>1522</v>
      </c>
      <c r="I23" s="3">
        <f t="shared" si="0"/>
        <v>48704</v>
      </c>
    </row>
    <row r="24" spans="1:9" x14ac:dyDescent="0.3">
      <c r="A24" s="2" t="s">
        <v>51</v>
      </c>
      <c r="B24" s="13">
        <v>46203</v>
      </c>
      <c r="C24" s="1" t="s">
        <v>29</v>
      </c>
      <c r="D24" s="1" t="s">
        <v>30</v>
      </c>
      <c r="E24" s="1" t="s">
        <v>33</v>
      </c>
      <c r="F24" s="1">
        <v>91</v>
      </c>
      <c r="G24" s="1">
        <v>50</v>
      </c>
      <c r="H24" s="1">
        <v>47093</v>
      </c>
      <c r="I24" s="3">
        <f t="shared" si="0"/>
        <v>4285463</v>
      </c>
    </row>
    <row r="25" spans="1:9" x14ac:dyDescent="0.3">
      <c r="A25" s="2" t="s">
        <v>52</v>
      </c>
      <c r="B25" s="13">
        <v>46027</v>
      </c>
      <c r="C25" s="1" t="s">
        <v>32</v>
      </c>
      <c r="D25" s="1" t="s">
        <v>15</v>
      </c>
      <c r="E25" s="1" t="s">
        <v>24</v>
      </c>
      <c r="F25" s="1">
        <v>165</v>
      </c>
      <c r="G25" s="1">
        <v>20</v>
      </c>
      <c r="H25" s="1">
        <v>28546</v>
      </c>
      <c r="I25" s="3">
        <f t="shared" si="0"/>
        <v>4710090</v>
      </c>
    </row>
    <row r="26" spans="1:9" x14ac:dyDescent="0.3">
      <c r="A26" s="2" t="s">
        <v>53</v>
      </c>
      <c r="B26" s="13">
        <v>46134</v>
      </c>
      <c r="C26" s="1" t="s">
        <v>14</v>
      </c>
      <c r="D26" s="1" t="s">
        <v>15</v>
      </c>
      <c r="E26" s="1" t="s">
        <v>12</v>
      </c>
      <c r="F26" s="1">
        <v>48</v>
      </c>
      <c r="G26" s="1">
        <v>10</v>
      </c>
      <c r="H26" s="1">
        <v>44519</v>
      </c>
      <c r="I26" s="3">
        <f t="shared" si="0"/>
        <v>2136912</v>
      </c>
    </row>
    <row r="27" spans="1:9" x14ac:dyDescent="0.3">
      <c r="A27" s="2" t="s">
        <v>54</v>
      </c>
      <c r="B27" s="13">
        <v>46062</v>
      </c>
      <c r="C27" s="1" t="s">
        <v>43</v>
      </c>
      <c r="D27" s="1" t="s">
        <v>19</v>
      </c>
      <c r="E27" s="1" t="s">
        <v>20</v>
      </c>
      <c r="F27" s="1">
        <v>15</v>
      </c>
      <c r="G27" s="1">
        <v>10</v>
      </c>
      <c r="H27" s="1">
        <v>30915</v>
      </c>
      <c r="I27" s="3">
        <f t="shared" si="0"/>
        <v>463725</v>
      </c>
    </row>
    <row r="28" spans="1:9" x14ac:dyDescent="0.3">
      <c r="A28" s="2" t="s">
        <v>55</v>
      </c>
      <c r="B28" s="13">
        <v>46089</v>
      </c>
      <c r="C28" s="1" t="s">
        <v>18</v>
      </c>
      <c r="D28" s="1" t="s">
        <v>19</v>
      </c>
      <c r="E28" s="1" t="s">
        <v>16</v>
      </c>
      <c r="F28" s="1">
        <v>68</v>
      </c>
      <c r="G28" s="1">
        <v>50</v>
      </c>
      <c r="H28" s="1">
        <v>49077</v>
      </c>
      <c r="I28" s="3">
        <f t="shared" si="0"/>
        <v>3337236</v>
      </c>
    </row>
    <row r="29" spans="1:9" x14ac:dyDescent="0.3">
      <c r="A29" s="2" t="s">
        <v>56</v>
      </c>
      <c r="B29" s="13">
        <v>46057</v>
      </c>
      <c r="C29" s="1" t="s">
        <v>49</v>
      </c>
      <c r="D29" s="1" t="s">
        <v>11</v>
      </c>
      <c r="E29" s="1" t="s">
        <v>16</v>
      </c>
      <c r="F29" s="1">
        <v>169</v>
      </c>
      <c r="G29" s="1">
        <v>30</v>
      </c>
      <c r="H29" s="1">
        <v>35588</v>
      </c>
      <c r="I29" s="3">
        <f t="shared" si="0"/>
        <v>6014372</v>
      </c>
    </row>
    <row r="30" spans="1:9" x14ac:dyDescent="0.3">
      <c r="A30" s="2" t="s">
        <v>57</v>
      </c>
      <c r="B30" s="13">
        <v>46228</v>
      </c>
      <c r="C30" s="1" t="s">
        <v>35</v>
      </c>
      <c r="D30" s="1" t="s">
        <v>15</v>
      </c>
      <c r="E30" s="1" t="s">
        <v>24</v>
      </c>
      <c r="F30" s="1">
        <v>179</v>
      </c>
      <c r="G30" s="1">
        <v>30</v>
      </c>
      <c r="H30" s="1">
        <v>30965</v>
      </c>
      <c r="I30" s="3">
        <f t="shared" si="0"/>
        <v>5542735</v>
      </c>
    </row>
    <row r="31" spans="1:9" x14ac:dyDescent="0.3">
      <c r="A31" s="2" t="s">
        <v>58</v>
      </c>
      <c r="B31" s="13">
        <v>46208</v>
      </c>
      <c r="C31" s="1" t="s">
        <v>32</v>
      </c>
      <c r="D31" s="1" t="s">
        <v>15</v>
      </c>
      <c r="E31" s="1" t="s">
        <v>16</v>
      </c>
      <c r="F31" s="1">
        <v>22</v>
      </c>
      <c r="G31" s="1">
        <v>30</v>
      </c>
      <c r="H31" s="1">
        <v>2385</v>
      </c>
      <c r="I31" s="3">
        <f t="shared" si="0"/>
        <v>52470</v>
      </c>
    </row>
    <row r="32" spans="1:9" x14ac:dyDescent="0.3">
      <c r="A32" s="2" t="s">
        <v>59</v>
      </c>
      <c r="B32" s="13">
        <v>46171</v>
      </c>
      <c r="C32" s="1" t="s">
        <v>18</v>
      </c>
      <c r="D32" s="1" t="s">
        <v>19</v>
      </c>
      <c r="E32" s="1" t="s">
        <v>20</v>
      </c>
      <c r="F32" s="1">
        <v>101</v>
      </c>
      <c r="G32" s="1">
        <v>20</v>
      </c>
      <c r="H32" s="1">
        <v>10400</v>
      </c>
      <c r="I32" s="3">
        <f t="shared" si="0"/>
        <v>1050400</v>
      </c>
    </row>
    <row r="33" spans="1:9" x14ac:dyDescent="0.3">
      <c r="A33" s="2" t="s">
        <v>60</v>
      </c>
      <c r="B33" s="13">
        <v>46203</v>
      </c>
      <c r="C33" s="1" t="s">
        <v>10</v>
      </c>
      <c r="D33" s="1" t="s">
        <v>11</v>
      </c>
      <c r="E33" s="1" t="s">
        <v>33</v>
      </c>
      <c r="F33" s="1">
        <v>109</v>
      </c>
      <c r="G33" s="1">
        <v>10</v>
      </c>
      <c r="H33" s="1">
        <v>31507</v>
      </c>
      <c r="I33" s="3">
        <f t="shared" si="0"/>
        <v>3434263</v>
      </c>
    </row>
    <row r="34" spans="1:9" x14ac:dyDescent="0.3">
      <c r="A34" s="2" t="s">
        <v>61</v>
      </c>
      <c r="B34" s="13">
        <v>46187</v>
      </c>
      <c r="C34" s="1" t="s">
        <v>37</v>
      </c>
      <c r="D34" s="1" t="s">
        <v>15</v>
      </c>
      <c r="E34" s="1" t="s">
        <v>16</v>
      </c>
      <c r="F34" s="1">
        <v>114</v>
      </c>
      <c r="G34" s="1">
        <v>20</v>
      </c>
      <c r="H34" s="1">
        <v>10768</v>
      </c>
      <c r="I34" s="3">
        <f t="shared" ref="I34:I65" si="1">F34*H34</f>
        <v>1227552</v>
      </c>
    </row>
    <row r="35" spans="1:9" x14ac:dyDescent="0.3">
      <c r="A35" s="2" t="s">
        <v>62</v>
      </c>
      <c r="B35" s="13">
        <v>46179</v>
      </c>
      <c r="C35" s="1" t="s">
        <v>10</v>
      </c>
      <c r="D35" s="1" t="s">
        <v>11</v>
      </c>
      <c r="E35" s="1" t="s">
        <v>20</v>
      </c>
      <c r="F35" s="1">
        <v>63</v>
      </c>
      <c r="G35" s="1">
        <v>50</v>
      </c>
      <c r="H35" s="1">
        <v>23938</v>
      </c>
      <c r="I35" s="3">
        <f t="shared" si="1"/>
        <v>1508094</v>
      </c>
    </row>
    <row r="36" spans="1:9" x14ac:dyDescent="0.3">
      <c r="A36" s="2" t="s">
        <v>63</v>
      </c>
      <c r="B36" s="13">
        <v>46204</v>
      </c>
      <c r="C36" s="1" t="s">
        <v>49</v>
      </c>
      <c r="D36" s="1" t="s">
        <v>11</v>
      </c>
      <c r="E36" s="1" t="s">
        <v>16</v>
      </c>
      <c r="F36" s="1">
        <v>13</v>
      </c>
      <c r="G36" s="1">
        <v>50</v>
      </c>
      <c r="H36" s="1">
        <v>28469</v>
      </c>
      <c r="I36" s="3">
        <f t="shared" si="1"/>
        <v>370097</v>
      </c>
    </row>
    <row r="37" spans="1:9" x14ac:dyDescent="0.3">
      <c r="A37" s="2" t="s">
        <v>64</v>
      </c>
      <c r="B37" s="13">
        <v>46191</v>
      </c>
      <c r="C37" s="1" t="s">
        <v>18</v>
      </c>
      <c r="D37" s="1" t="s">
        <v>19</v>
      </c>
      <c r="E37" s="1" t="s">
        <v>24</v>
      </c>
      <c r="F37" s="1">
        <v>125</v>
      </c>
      <c r="G37" s="1">
        <v>10</v>
      </c>
      <c r="H37" s="1">
        <v>5092</v>
      </c>
      <c r="I37" s="3">
        <f t="shared" si="1"/>
        <v>636500</v>
      </c>
    </row>
    <row r="38" spans="1:9" x14ac:dyDescent="0.3">
      <c r="A38" s="2" t="s">
        <v>65</v>
      </c>
      <c r="B38" s="13">
        <v>46211</v>
      </c>
      <c r="C38" s="1" t="s">
        <v>14</v>
      </c>
      <c r="D38" s="1" t="s">
        <v>15</v>
      </c>
      <c r="E38" s="1" t="s">
        <v>33</v>
      </c>
      <c r="F38" s="1">
        <v>174</v>
      </c>
      <c r="G38" s="1">
        <v>20</v>
      </c>
      <c r="H38" s="1">
        <v>48543</v>
      </c>
      <c r="I38" s="3">
        <f t="shared" si="1"/>
        <v>8446482</v>
      </c>
    </row>
    <row r="39" spans="1:9" x14ac:dyDescent="0.3">
      <c r="A39" s="2" t="s">
        <v>66</v>
      </c>
      <c r="B39" s="13">
        <v>46037</v>
      </c>
      <c r="C39" s="1" t="s">
        <v>29</v>
      </c>
      <c r="D39" s="1" t="s">
        <v>30</v>
      </c>
      <c r="E39" s="1" t="s">
        <v>16</v>
      </c>
      <c r="F39" s="1">
        <v>19</v>
      </c>
      <c r="G39" s="1">
        <v>10</v>
      </c>
      <c r="H39" s="1">
        <v>30768</v>
      </c>
      <c r="I39" s="3">
        <f t="shared" si="1"/>
        <v>584592</v>
      </c>
    </row>
    <row r="40" spans="1:9" x14ac:dyDescent="0.3">
      <c r="A40" s="2" t="s">
        <v>67</v>
      </c>
      <c r="B40" s="13">
        <v>46206</v>
      </c>
      <c r="C40" s="1" t="s">
        <v>18</v>
      </c>
      <c r="D40" s="1" t="s">
        <v>19</v>
      </c>
      <c r="E40" s="1" t="s">
        <v>16</v>
      </c>
      <c r="F40" s="1">
        <v>96</v>
      </c>
      <c r="G40" s="1">
        <v>20</v>
      </c>
      <c r="H40" s="1">
        <v>48502</v>
      </c>
      <c r="I40" s="3">
        <f t="shared" si="1"/>
        <v>4656192</v>
      </c>
    </row>
    <row r="41" spans="1:9" x14ac:dyDescent="0.3">
      <c r="A41" s="2" t="s">
        <v>68</v>
      </c>
      <c r="B41" s="13">
        <v>46218</v>
      </c>
      <c r="C41" s="1" t="s">
        <v>10</v>
      </c>
      <c r="D41" s="1" t="s">
        <v>11</v>
      </c>
      <c r="E41" s="1" t="s">
        <v>33</v>
      </c>
      <c r="F41" s="1">
        <v>48</v>
      </c>
      <c r="G41" s="1">
        <v>10</v>
      </c>
      <c r="H41" s="1">
        <v>44797</v>
      </c>
      <c r="I41" s="3">
        <f t="shared" si="1"/>
        <v>2150256</v>
      </c>
    </row>
    <row r="42" spans="1:9" x14ac:dyDescent="0.3">
      <c r="A42" s="2" t="s">
        <v>69</v>
      </c>
      <c r="B42" s="13">
        <v>46048</v>
      </c>
      <c r="C42" s="1" t="s">
        <v>49</v>
      </c>
      <c r="D42" s="1" t="s">
        <v>11</v>
      </c>
      <c r="E42" s="1" t="s">
        <v>24</v>
      </c>
      <c r="F42" s="1">
        <v>57</v>
      </c>
      <c r="G42" s="1">
        <v>10</v>
      </c>
      <c r="H42" s="1">
        <v>40051</v>
      </c>
      <c r="I42" s="3">
        <f t="shared" si="1"/>
        <v>2282907</v>
      </c>
    </row>
    <row r="43" spans="1:9" x14ac:dyDescent="0.3">
      <c r="A43" s="2" t="s">
        <v>70</v>
      </c>
      <c r="B43" s="13">
        <v>46100</v>
      </c>
      <c r="C43" s="1" t="s">
        <v>37</v>
      </c>
      <c r="D43" s="1" t="s">
        <v>15</v>
      </c>
      <c r="E43" s="1" t="s">
        <v>33</v>
      </c>
      <c r="F43" s="1">
        <v>69</v>
      </c>
      <c r="G43" s="1">
        <v>10</v>
      </c>
      <c r="H43" s="1">
        <v>10656</v>
      </c>
      <c r="I43" s="3">
        <f t="shared" si="1"/>
        <v>735264</v>
      </c>
    </row>
    <row r="44" spans="1:9" x14ac:dyDescent="0.3">
      <c r="A44" s="2" t="s">
        <v>71</v>
      </c>
      <c r="B44" s="13">
        <v>46173</v>
      </c>
      <c r="C44" s="1" t="s">
        <v>32</v>
      </c>
      <c r="D44" s="1" t="s">
        <v>15</v>
      </c>
      <c r="E44" s="1" t="s">
        <v>33</v>
      </c>
      <c r="F44" s="1">
        <v>146</v>
      </c>
      <c r="G44" s="1">
        <v>50</v>
      </c>
      <c r="H44" s="1">
        <v>28717</v>
      </c>
      <c r="I44" s="3">
        <f t="shared" si="1"/>
        <v>4192682</v>
      </c>
    </row>
    <row r="45" spans="1:9" x14ac:dyDescent="0.3">
      <c r="A45" s="2" t="s">
        <v>72</v>
      </c>
      <c r="B45" s="13">
        <v>46147</v>
      </c>
      <c r="C45" s="1" t="s">
        <v>43</v>
      </c>
      <c r="D45" s="1" t="s">
        <v>19</v>
      </c>
      <c r="E45" s="1" t="s">
        <v>16</v>
      </c>
      <c r="F45" s="1">
        <v>161</v>
      </c>
      <c r="G45" s="1">
        <v>50</v>
      </c>
      <c r="H45" s="1">
        <v>42075</v>
      </c>
      <c r="I45" s="3">
        <f t="shared" si="1"/>
        <v>6774075</v>
      </c>
    </row>
    <row r="46" spans="1:9" x14ac:dyDescent="0.3">
      <c r="A46" s="2" t="s">
        <v>73</v>
      </c>
      <c r="B46" s="13">
        <v>46181</v>
      </c>
      <c r="C46" s="1" t="s">
        <v>37</v>
      </c>
      <c r="D46" s="1" t="s">
        <v>15</v>
      </c>
      <c r="E46" s="1" t="s">
        <v>20</v>
      </c>
      <c r="F46" s="1">
        <v>197</v>
      </c>
      <c r="G46" s="1">
        <v>30</v>
      </c>
      <c r="H46" s="1">
        <v>9549</v>
      </c>
      <c r="I46" s="3">
        <f t="shared" si="1"/>
        <v>1881153</v>
      </c>
    </row>
    <row r="47" spans="1:9" x14ac:dyDescent="0.3">
      <c r="A47" s="2" t="s">
        <v>74</v>
      </c>
      <c r="B47" s="13">
        <v>46227</v>
      </c>
      <c r="C47" s="1" t="s">
        <v>18</v>
      </c>
      <c r="D47" s="1" t="s">
        <v>19</v>
      </c>
      <c r="E47" s="1" t="s">
        <v>33</v>
      </c>
      <c r="F47" s="1">
        <v>114</v>
      </c>
      <c r="G47" s="1">
        <v>50</v>
      </c>
      <c r="H47" s="1">
        <v>49535</v>
      </c>
      <c r="I47" s="3">
        <f t="shared" si="1"/>
        <v>5646990</v>
      </c>
    </row>
    <row r="48" spans="1:9" x14ac:dyDescent="0.3">
      <c r="A48" s="2" t="s">
        <v>75</v>
      </c>
      <c r="B48" s="13">
        <v>46165</v>
      </c>
      <c r="C48" s="1" t="s">
        <v>18</v>
      </c>
      <c r="D48" s="1" t="s">
        <v>19</v>
      </c>
      <c r="E48" s="1" t="s">
        <v>20</v>
      </c>
      <c r="F48" s="1">
        <v>29</v>
      </c>
      <c r="G48" s="1">
        <v>20</v>
      </c>
      <c r="H48" s="1">
        <v>45390</v>
      </c>
      <c r="I48" s="3">
        <f t="shared" si="1"/>
        <v>1316310</v>
      </c>
    </row>
    <row r="49" spans="1:9" x14ac:dyDescent="0.3">
      <c r="A49" s="2" t="s">
        <v>76</v>
      </c>
      <c r="B49" s="13">
        <v>46185</v>
      </c>
      <c r="C49" s="1" t="s">
        <v>10</v>
      </c>
      <c r="D49" s="1" t="s">
        <v>11</v>
      </c>
      <c r="E49" s="1" t="s">
        <v>16</v>
      </c>
      <c r="F49" s="1">
        <v>64</v>
      </c>
      <c r="G49" s="1">
        <v>30</v>
      </c>
      <c r="H49" s="1">
        <v>13281</v>
      </c>
      <c r="I49" s="3">
        <f t="shared" si="1"/>
        <v>849984</v>
      </c>
    </row>
    <row r="50" spans="1:9" x14ac:dyDescent="0.3">
      <c r="A50" s="2" t="s">
        <v>77</v>
      </c>
      <c r="B50" s="13">
        <v>46054</v>
      </c>
      <c r="C50" s="1" t="s">
        <v>10</v>
      </c>
      <c r="D50" s="1" t="s">
        <v>11</v>
      </c>
      <c r="E50" s="1" t="s">
        <v>20</v>
      </c>
      <c r="F50" s="1">
        <v>77</v>
      </c>
      <c r="G50" s="1">
        <v>50</v>
      </c>
      <c r="H50" s="1">
        <v>22684</v>
      </c>
      <c r="I50" s="3">
        <f t="shared" si="1"/>
        <v>1746668</v>
      </c>
    </row>
    <row r="51" spans="1:9" x14ac:dyDescent="0.3">
      <c r="A51" s="2" t="s">
        <v>78</v>
      </c>
      <c r="B51" s="13">
        <v>46025</v>
      </c>
      <c r="C51" s="1" t="s">
        <v>14</v>
      </c>
      <c r="D51" s="1" t="s">
        <v>15</v>
      </c>
      <c r="E51" s="1" t="s">
        <v>24</v>
      </c>
      <c r="F51" s="1">
        <v>58</v>
      </c>
      <c r="G51" s="1">
        <v>30</v>
      </c>
      <c r="H51" s="1">
        <v>46962</v>
      </c>
      <c r="I51" s="3">
        <f t="shared" si="1"/>
        <v>2723796</v>
      </c>
    </row>
    <row r="52" spans="1:9" x14ac:dyDescent="0.3">
      <c r="A52" s="2" t="s">
        <v>79</v>
      </c>
      <c r="B52" s="13">
        <v>46056</v>
      </c>
      <c r="C52" s="1" t="s">
        <v>49</v>
      </c>
      <c r="D52" s="1" t="s">
        <v>11</v>
      </c>
      <c r="E52" s="1" t="s">
        <v>12</v>
      </c>
      <c r="F52" s="1">
        <v>12</v>
      </c>
      <c r="G52" s="1">
        <v>40</v>
      </c>
      <c r="H52" s="1">
        <v>51619</v>
      </c>
      <c r="I52" s="3">
        <f t="shared" si="1"/>
        <v>619428</v>
      </c>
    </row>
    <row r="53" spans="1:9" x14ac:dyDescent="0.3">
      <c r="A53" s="2" t="s">
        <v>80</v>
      </c>
      <c r="B53" s="13">
        <v>46082</v>
      </c>
      <c r="C53" s="1" t="s">
        <v>37</v>
      </c>
      <c r="D53" s="1" t="s">
        <v>15</v>
      </c>
      <c r="E53" s="1" t="s">
        <v>16</v>
      </c>
      <c r="F53" s="1">
        <v>11</v>
      </c>
      <c r="G53" s="1">
        <v>40</v>
      </c>
      <c r="H53" s="1">
        <v>58784</v>
      </c>
      <c r="I53" s="3">
        <f t="shared" si="1"/>
        <v>646624</v>
      </c>
    </row>
    <row r="54" spans="1:9" x14ac:dyDescent="0.3">
      <c r="A54" s="2" t="s">
        <v>81</v>
      </c>
      <c r="B54" s="13">
        <v>46227</v>
      </c>
      <c r="C54" s="1" t="s">
        <v>32</v>
      </c>
      <c r="D54" s="1" t="s">
        <v>15</v>
      </c>
      <c r="E54" s="1" t="s">
        <v>20</v>
      </c>
      <c r="F54" s="1">
        <v>71</v>
      </c>
      <c r="G54" s="1">
        <v>20</v>
      </c>
      <c r="H54" s="1">
        <v>51748</v>
      </c>
      <c r="I54" s="3">
        <f t="shared" si="1"/>
        <v>3674108</v>
      </c>
    </row>
    <row r="55" spans="1:9" x14ac:dyDescent="0.3">
      <c r="A55" s="2" t="s">
        <v>82</v>
      </c>
      <c r="B55" s="13">
        <v>46142</v>
      </c>
      <c r="C55" s="1" t="s">
        <v>10</v>
      </c>
      <c r="D55" s="1" t="s">
        <v>11</v>
      </c>
      <c r="E55" s="1" t="s">
        <v>20</v>
      </c>
      <c r="F55" s="1">
        <v>66</v>
      </c>
      <c r="G55" s="1">
        <v>50</v>
      </c>
      <c r="H55" s="1">
        <v>49148</v>
      </c>
      <c r="I55" s="3">
        <f t="shared" si="1"/>
        <v>3243768</v>
      </c>
    </row>
    <row r="56" spans="1:9" x14ac:dyDescent="0.3">
      <c r="A56" s="2" t="s">
        <v>83</v>
      </c>
      <c r="B56" s="13">
        <v>46078</v>
      </c>
      <c r="C56" s="1" t="s">
        <v>37</v>
      </c>
      <c r="D56" s="1" t="s">
        <v>15</v>
      </c>
      <c r="E56" s="1" t="s">
        <v>24</v>
      </c>
      <c r="F56" s="1">
        <v>26</v>
      </c>
      <c r="G56" s="1">
        <v>50</v>
      </c>
      <c r="H56" s="1">
        <v>11208</v>
      </c>
      <c r="I56" s="3">
        <f t="shared" si="1"/>
        <v>291408</v>
      </c>
    </row>
    <row r="57" spans="1:9" x14ac:dyDescent="0.3">
      <c r="A57" s="2" t="s">
        <v>84</v>
      </c>
      <c r="B57" s="13">
        <v>46036</v>
      </c>
      <c r="C57" s="1" t="s">
        <v>18</v>
      </c>
      <c r="D57" s="1" t="s">
        <v>19</v>
      </c>
      <c r="E57" s="1" t="s">
        <v>16</v>
      </c>
      <c r="F57" s="1">
        <v>192</v>
      </c>
      <c r="G57" s="1">
        <v>40</v>
      </c>
      <c r="H57" s="1">
        <v>54513</v>
      </c>
      <c r="I57" s="3">
        <f t="shared" si="1"/>
        <v>10466496</v>
      </c>
    </row>
    <row r="58" spans="1:9" x14ac:dyDescent="0.3">
      <c r="A58" s="2" t="s">
        <v>85</v>
      </c>
      <c r="B58" s="13">
        <v>46146</v>
      </c>
      <c r="C58" s="1" t="s">
        <v>32</v>
      </c>
      <c r="D58" s="1" t="s">
        <v>15</v>
      </c>
      <c r="E58" s="1" t="s">
        <v>20</v>
      </c>
      <c r="F58" s="1">
        <v>131</v>
      </c>
      <c r="G58" s="1">
        <v>20</v>
      </c>
      <c r="H58" s="1">
        <v>14204</v>
      </c>
      <c r="I58" s="3">
        <f t="shared" si="1"/>
        <v>1860724</v>
      </c>
    </row>
    <row r="59" spans="1:9" x14ac:dyDescent="0.3">
      <c r="A59" s="2" t="s">
        <v>86</v>
      </c>
      <c r="B59" s="13">
        <v>46177</v>
      </c>
      <c r="C59" s="1" t="s">
        <v>18</v>
      </c>
      <c r="D59" s="1" t="s">
        <v>19</v>
      </c>
      <c r="E59" s="1" t="s">
        <v>33</v>
      </c>
      <c r="F59" s="1">
        <v>62</v>
      </c>
      <c r="G59" s="1">
        <v>40</v>
      </c>
      <c r="H59" s="1">
        <v>38185</v>
      </c>
      <c r="I59" s="3">
        <f t="shared" si="1"/>
        <v>2367470</v>
      </c>
    </row>
    <row r="60" spans="1:9" x14ac:dyDescent="0.3">
      <c r="A60" s="2" t="s">
        <v>87</v>
      </c>
      <c r="B60" s="13">
        <v>46171</v>
      </c>
      <c r="C60" s="1" t="s">
        <v>10</v>
      </c>
      <c r="D60" s="1" t="s">
        <v>11</v>
      </c>
      <c r="E60" s="1" t="s">
        <v>24</v>
      </c>
      <c r="F60" s="1">
        <v>105</v>
      </c>
      <c r="G60" s="1">
        <v>50</v>
      </c>
      <c r="H60" s="1">
        <v>1181</v>
      </c>
      <c r="I60" s="3">
        <f t="shared" si="1"/>
        <v>124005</v>
      </c>
    </row>
    <row r="61" spans="1:9" x14ac:dyDescent="0.3">
      <c r="A61" s="2" t="s">
        <v>88</v>
      </c>
      <c r="B61" s="13">
        <v>46030</v>
      </c>
      <c r="C61" s="1" t="s">
        <v>35</v>
      </c>
      <c r="D61" s="1" t="s">
        <v>15</v>
      </c>
      <c r="E61" s="1" t="s">
        <v>12</v>
      </c>
      <c r="F61" s="1">
        <v>41</v>
      </c>
      <c r="G61" s="1">
        <v>40</v>
      </c>
      <c r="H61" s="1">
        <v>56533</v>
      </c>
      <c r="I61" s="3">
        <f t="shared" si="1"/>
        <v>2317853</v>
      </c>
    </row>
    <row r="62" spans="1:9" x14ac:dyDescent="0.3">
      <c r="A62" s="2" t="s">
        <v>89</v>
      </c>
      <c r="B62" s="13">
        <v>46134</v>
      </c>
      <c r="C62" s="1" t="s">
        <v>35</v>
      </c>
      <c r="D62" s="1" t="s">
        <v>15</v>
      </c>
      <c r="E62" s="1" t="s">
        <v>24</v>
      </c>
      <c r="F62" s="1">
        <v>48</v>
      </c>
      <c r="G62" s="1">
        <v>40</v>
      </c>
      <c r="H62" s="1">
        <v>16347</v>
      </c>
      <c r="I62" s="3">
        <f t="shared" si="1"/>
        <v>784656</v>
      </c>
    </row>
    <row r="63" spans="1:9" x14ac:dyDescent="0.3">
      <c r="A63" s="2" t="s">
        <v>90</v>
      </c>
      <c r="B63" s="13">
        <v>46075</v>
      </c>
      <c r="C63" s="1" t="s">
        <v>32</v>
      </c>
      <c r="D63" s="1" t="s">
        <v>15</v>
      </c>
      <c r="E63" s="1" t="s">
        <v>20</v>
      </c>
      <c r="F63" s="1">
        <v>67</v>
      </c>
      <c r="G63" s="1">
        <v>10</v>
      </c>
      <c r="H63" s="1">
        <v>14634</v>
      </c>
      <c r="I63" s="3">
        <f t="shared" si="1"/>
        <v>980478</v>
      </c>
    </row>
    <row r="64" spans="1:9" x14ac:dyDescent="0.3">
      <c r="A64" s="2" t="s">
        <v>91</v>
      </c>
      <c r="B64" s="13">
        <v>46176</v>
      </c>
      <c r="C64" s="1" t="s">
        <v>32</v>
      </c>
      <c r="D64" s="1" t="s">
        <v>15</v>
      </c>
      <c r="E64" s="1" t="s">
        <v>33</v>
      </c>
      <c r="F64" s="1">
        <v>28</v>
      </c>
      <c r="G64" s="1">
        <v>10</v>
      </c>
      <c r="H64" s="1">
        <v>28693</v>
      </c>
      <c r="I64" s="3">
        <f t="shared" si="1"/>
        <v>803404</v>
      </c>
    </row>
    <row r="65" spans="1:9" x14ac:dyDescent="0.3">
      <c r="A65" s="2" t="s">
        <v>92</v>
      </c>
      <c r="B65" s="13">
        <v>46045</v>
      </c>
      <c r="C65" s="1" t="s">
        <v>22</v>
      </c>
      <c r="D65" s="1" t="s">
        <v>23</v>
      </c>
      <c r="E65" s="1" t="s">
        <v>24</v>
      </c>
      <c r="F65" s="1">
        <v>178</v>
      </c>
      <c r="G65" s="1">
        <v>20</v>
      </c>
      <c r="H65" s="1">
        <v>41734</v>
      </c>
      <c r="I65" s="3">
        <f t="shared" si="1"/>
        <v>7428652</v>
      </c>
    </row>
    <row r="66" spans="1:9" x14ac:dyDescent="0.3">
      <c r="A66" s="2" t="s">
        <v>93</v>
      </c>
      <c r="B66" s="13">
        <v>46102</v>
      </c>
      <c r="C66" s="1" t="s">
        <v>10</v>
      </c>
      <c r="D66" s="1" t="s">
        <v>11</v>
      </c>
      <c r="E66" s="1" t="s">
        <v>20</v>
      </c>
      <c r="F66" s="1">
        <v>162</v>
      </c>
      <c r="G66" s="1">
        <v>30</v>
      </c>
      <c r="H66" s="1">
        <v>31339</v>
      </c>
      <c r="I66" s="3">
        <f t="shared" ref="I66:I97" si="2">F66*H66</f>
        <v>5076918</v>
      </c>
    </row>
    <row r="67" spans="1:9" x14ac:dyDescent="0.3">
      <c r="A67" s="2" t="s">
        <v>94</v>
      </c>
      <c r="B67" s="13">
        <v>46191</v>
      </c>
      <c r="C67" s="1" t="s">
        <v>29</v>
      </c>
      <c r="D67" s="1" t="s">
        <v>30</v>
      </c>
      <c r="E67" s="1" t="s">
        <v>33</v>
      </c>
      <c r="F67" s="1">
        <v>179</v>
      </c>
      <c r="G67" s="1">
        <v>10</v>
      </c>
      <c r="H67" s="1">
        <v>10616</v>
      </c>
      <c r="I67" s="3">
        <f t="shared" si="2"/>
        <v>1900264</v>
      </c>
    </row>
    <row r="68" spans="1:9" x14ac:dyDescent="0.3">
      <c r="A68" s="2" t="s">
        <v>95</v>
      </c>
      <c r="B68" s="13">
        <v>46108</v>
      </c>
      <c r="C68" s="1" t="s">
        <v>10</v>
      </c>
      <c r="D68" s="1" t="s">
        <v>11</v>
      </c>
      <c r="E68" s="1" t="s">
        <v>16</v>
      </c>
      <c r="F68" s="1">
        <v>90</v>
      </c>
      <c r="G68" s="1">
        <v>10</v>
      </c>
      <c r="H68" s="1">
        <v>1182</v>
      </c>
      <c r="I68" s="3">
        <f t="shared" si="2"/>
        <v>106380</v>
      </c>
    </row>
    <row r="69" spans="1:9" x14ac:dyDescent="0.3">
      <c r="A69" s="2" t="s">
        <v>96</v>
      </c>
      <c r="B69" s="13">
        <v>46058</v>
      </c>
      <c r="C69" s="1" t="s">
        <v>22</v>
      </c>
      <c r="D69" s="1" t="s">
        <v>23</v>
      </c>
      <c r="E69" s="1" t="s">
        <v>24</v>
      </c>
      <c r="F69" s="1">
        <v>78</v>
      </c>
      <c r="G69" s="1">
        <v>10</v>
      </c>
      <c r="H69" s="1">
        <v>30808</v>
      </c>
      <c r="I69" s="3">
        <f t="shared" si="2"/>
        <v>2403024</v>
      </c>
    </row>
    <row r="70" spans="1:9" x14ac:dyDescent="0.3">
      <c r="A70" s="2" t="s">
        <v>97</v>
      </c>
      <c r="B70" s="13">
        <v>46205</v>
      </c>
      <c r="C70" s="1" t="s">
        <v>18</v>
      </c>
      <c r="D70" s="1" t="s">
        <v>19</v>
      </c>
      <c r="E70" s="1" t="s">
        <v>12</v>
      </c>
      <c r="F70" s="1">
        <v>53</v>
      </c>
      <c r="G70" s="1">
        <v>20</v>
      </c>
      <c r="H70" s="1">
        <v>4267</v>
      </c>
      <c r="I70" s="3">
        <f t="shared" si="2"/>
        <v>226151</v>
      </c>
    </row>
    <row r="71" spans="1:9" x14ac:dyDescent="0.3">
      <c r="A71" s="2" t="s">
        <v>98</v>
      </c>
      <c r="B71" s="13">
        <v>46186</v>
      </c>
      <c r="C71" s="1" t="s">
        <v>32</v>
      </c>
      <c r="D71" s="1" t="s">
        <v>15</v>
      </c>
      <c r="E71" s="1" t="s">
        <v>20</v>
      </c>
      <c r="F71" s="1">
        <v>166</v>
      </c>
      <c r="G71" s="1">
        <v>50</v>
      </c>
      <c r="H71" s="1">
        <v>59497</v>
      </c>
      <c r="I71" s="3">
        <f t="shared" si="2"/>
        <v>9876502</v>
      </c>
    </row>
    <row r="72" spans="1:9" x14ac:dyDescent="0.3">
      <c r="A72" s="2" t="s">
        <v>99</v>
      </c>
      <c r="B72" s="13">
        <v>46122</v>
      </c>
      <c r="C72" s="1" t="s">
        <v>49</v>
      </c>
      <c r="D72" s="1" t="s">
        <v>11</v>
      </c>
      <c r="E72" s="1" t="s">
        <v>12</v>
      </c>
      <c r="F72" s="1">
        <v>185</v>
      </c>
      <c r="G72" s="1">
        <v>20</v>
      </c>
      <c r="H72" s="1">
        <v>46122</v>
      </c>
      <c r="I72" s="3">
        <f t="shared" si="2"/>
        <v>8532570</v>
      </c>
    </row>
    <row r="73" spans="1:9" x14ac:dyDescent="0.3">
      <c r="A73" s="2" t="s">
        <v>100</v>
      </c>
      <c r="B73" s="13">
        <v>46147</v>
      </c>
      <c r="C73" s="1" t="s">
        <v>10</v>
      </c>
      <c r="D73" s="1" t="s">
        <v>11</v>
      </c>
      <c r="E73" s="1" t="s">
        <v>33</v>
      </c>
      <c r="F73" s="1">
        <v>129</v>
      </c>
      <c r="G73" s="1">
        <v>20</v>
      </c>
      <c r="H73" s="1">
        <v>11658</v>
      </c>
      <c r="I73" s="3">
        <f t="shared" si="2"/>
        <v>1503882</v>
      </c>
    </row>
    <row r="74" spans="1:9" x14ac:dyDescent="0.3">
      <c r="A74" s="2" t="s">
        <v>101</v>
      </c>
      <c r="B74" s="13">
        <v>46164</v>
      </c>
      <c r="C74" s="1" t="s">
        <v>18</v>
      </c>
      <c r="D74" s="1" t="s">
        <v>19</v>
      </c>
      <c r="E74" s="1" t="s">
        <v>20</v>
      </c>
      <c r="F74" s="1">
        <v>178</v>
      </c>
      <c r="G74" s="1">
        <v>50</v>
      </c>
      <c r="H74" s="1">
        <v>59273</v>
      </c>
      <c r="I74" s="3">
        <f t="shared" si="2"/>
        <v>10550594</v>
      </c>
    </row>
    <row r="75" spans="1:9" x14ac:dyDescent="0.3">
      <c r="A75" s="2" t="s">
        <v>102</v>
      </c>
      <c r="B75" s="13">
        <v>46211</v>
      </c>
      <c r="C75" s="1" t="s">
        <v>32</v>
      </c>
      <c r="D75" s="1" t="s">
        <v>15</v>
      </c>
      <c r="E75" s="1" t="s">
        <v>12</v>
      </c>
      <c r="F75" s="1">
        <v>99</v>
      </c>
      <c r="G75" s="1">
        <v>50</v>
      </c>
      <c r="H75" s="1">
        <v>2243</v>
      </c>
      <c r="I75" s="3">
        <f t="shared" si="2"/>
        <v>222057</v>
      </c>
    </row>
    <row r="76" spans="1:9" x14ac:dyDescent="0.3">
      <c r="A76" s="2" t="s">
        <v>103</v>
      </c>
      <c r="B76" s="13">
        <v>46217</v>
      </c>
      <c r="C76" s="1" t="s">
        <v>35</v>
      </c>
      <c r="D76" s="1" t="s">
        <v>15</v>
      </c>
      <c r="E76" s="1" t="s">
        <v>20</v>
      </c>
      <c r="F76" s="1">
        <v>187</v>
      </c>
      <c r="G76" s="1">
        <v>30</v>
      </c>
      <c r="H76" s="1">
        <v>1266</v>
      </c>
      <c r="I76" s="3">
        <f t="shared" si="2"/>
        <v>236742</v>
      </c>
    </row>
    <row r="77" spans="1:9" x14ac:dyDescent="0.3">
      <c r="A77" s="2" t="s">
        <v>104</v>
      </c>
      <c r="B77" s="13">
        <v>46162</v>
      </c>
      <c r="C77" s="1" t="s">
        <v>18</v>
      </c>
      <c r="D77" s="1" t="s">
        <v>19</v>
      </c>
      <c r="E77" s="1" t="s">
        <v>12</v>
      </c>
      <c r="F77" s="1">
        <v>119</v>
      </c>
      <c r="G77" s="1">
        <v>50</v>
      </c>
      <c r="H77" s="1">
        <v>53175</v>
      </c>
      <c r="I77" s="3">
        <f t="shared" si="2"/>
        <v>6327825</v>
      </c>
    </row>
    <row r="78" spans="1:9" x14ac:dyDescent="0.3">
      <c r="A78" s="2" t="s">
        <v>105</v>
      </c>
      <c r="B78" s="13">
        <v>46127</v>
      </c>
      <c r="C78" s="1" t="s">
        <v>32</v>
      </c>
      <c r="D78" s="1" t="s">
        <v>15</v>
      </c>
      <c r="E78" s="1" t="s">
        <v>33</v>
      </c>
      <c r="F78" s="1">
        <v>73</v>
      </c>
      <c r="G78" s="1">
        <v>30</v>
      </c>
      <c r="H78" s="1">
        <v>24052</v>
      </c>
      <c r="I78" s="3">
        <f t="shared" si="2"/>
        <v>1755796</v>
      </c>
    </row>
    <row r="79" spans="1:9" x14ac:dyDescent="0.3">
      <c r="A79" s="2" t="s">
        <v>106</v>
      </c>
      <c r="B79" s="13">
        <v>46024</v>
      </c>
      <c r="C79" s="1" t="s">
        <v>43</v>
      </c>
      <c r="D79" s="1" t="s">
        <v>19</v>
      </c>
      <c r="E79" s="1" t="s">
        <v>12</v>
      </c>
      <c r="F79" s="1">
        <v>180</v>
      </c>
      <c r="G79" s="1">
        <v>10</v>
      </c>
      <c r="H79" s="1">
        <v>25831</v>
      </c>
      <c r="I79" s="3">
        <f t="shared" si="2"/>
        <v>4649580</v>
      </c>
    </row>
    <row r="80" spans="1:9" x14ac:dyDescent="0.3">
      <c r="A80" s="2" t="s">
        <v>107</v>
      </c>
      <c r="B80" s="13">
        <v>46023</v>
      </c>
      <c r="C80" s="1" t="s">
        <v>43</v>
      </c>
      <c r="D80" s="1" t="s">
        <v>19</v>
      </c>
      <c r="E80" s="1" t="s">
        <v>20</v>
      </c>
      <c r="F80" s="1">
        <v>52</v>
      </c>
      <c r="G80" s="1">
        <v>30</v>
      </c>
      <c r="H80" s="1">
        <v>4394</v>
      </c>
      <c r="I80" s="3">
        <f t="shared" si="2"/>
        <v>228488</v>
      </c>
    </row>
    <row r="81" spans="1:9" x14ac:dyDescent="0.3">
      <c r="A81" s="2" t="s">
        <v>108</v>
      </c>
      <c r="B81" s="13">
        <v>46191</v>
      </c>
      <c r="C81" s="1" t="s">
        <v>29</v>
      </c>
      <c r="D81" s="1" t="s">
        <v>30</v>
      </c>
      <c r="E81" s="1" t="s">
        <v>24</v>
      </c>
      <c r="F81" s="1">
        <v>97</v>
      </c>
      <c r="G81" s="1">
        <v>50</v>
      </c>
      <c r="H81" s="1">
        <v>56552</v>
      </c>
      <c r="I81" s="3">
        <f t="shared" si="2"/>
        <v>5485544</v>
      </c>
    </row>
    <row r="82" spans="1:9" x14ac:dyDescent="0.3">
      <c r="A82" s="2" t="s">
        <v>109</v>
      </c>
      <c r="B82" s="13">
        <v>46029</v>
      </c>
      <c r="C82" s="1" t="s">
        <v>43</v>
      </c>
      <c r="D82" s="1" t="s">
        <v>19</v>
      </c>
      <c r="E82" s="1" t="s">
        <v>24</v>
      </c>
      <c r="F82" s="1">
        <v>194</v>
      </c>
      <c r="G82" s="1">
        <v>50</v>
      </c>
      <c r="H82" s="1">
        <v>2271</v>
      </c>
      <c r="I82" s="3">
        <f t="shared" si="2"/>
        <v>440574</v>
      </c>
    </row>
    <row r="83" spans="1:9" x14ac:dyDescent="0.3">
      <c r="A83" s="2" t="s">
        <v>110</v>
      </c>
      <c r="B83" s="13">
        <v>46078</v>
      </c>
      <c r="C83" s="1" t="s">
        <v>18</v>
      </c>
      <c r="D83" s="1" t="s">
        <v>19</v>
      </c>
      <c r="E83" s="1" t="s">
        <v>12</v>
      </c>
      <c r="F83" s="1">
        <v>186</v>
      </c>
      <c r="G83" s="1">
        <v>30</v>
      </c>
      <c r="H83" s="1">
        <v>46701</v>
      </c>
      <c r="I83" s="3">
        <f t="shared" si="2"/>
        <v>8686386</v>
      </c>
    </row>
    <row r="84" spans="1:9" x14ac:dyDescent="0.3">
      <c r="A84" s="2" t="s">
        <v>111</v>
      </c>
      <c r="B84" s="13">
        <v>46066</v>
      </c>
      <c r="C84" s="1" t="s">
        <v>37</v>
      </c>
      <c r="D84" s="1" t="s">
        <v>15</v>
      </c>
      <c r="E84" s="1" t="s">
        <v>24</v>
      </c>
      <c r="F84" s="1">
        <v>102</v>
      </c>
      <c r="G84" s="1">
        <v>10</v>
      </c>
      <c r="H84" s="1">
        <v>27754</v>
      </c>
      <c r="I84" s="3">
        <f t="shared" si="2"/>
        <v>2830908</v>
      </c>
    </row>
    <row r="85" spans="1:9" x14ac:dyDescent="0.3">
      <c r="A85" s="2" t="s">
        <v>112</v>
      </c>
      <c r="B85" s="13">
        <v>46155</v>
      </c>
      <c r="C85" s="1" t="s">
        <v>35</v>
      </c>
      <c r="D85" s="1" t="s">
        <v>15</v>
      </c>
      <c r="E85" s="1" t="s">
        <v>33</v>
      </c>
      <c r="F85" s="1">
        <v>22</v>
      </c>
      <c r="G85" s="1">
        <v>20</v>
      </c>
      <c r="H85" s="1">
        <v>28023</v>
      </c>
      <c r="I85" s="3">
        <f t="shared" si="2"/>
        <v>616506</v>
      </c>
    </row>
    <row r="86" spans="1:9" x14ac:dyDescent="0.3">
      <c r="A86" s="2" t="s">
        <v>113</v>
      </c>
      <c r="B86" s="13">
        <v>46130</v>
      </c>
      <c r="C86" s="1" t="s">
        <v>37</v>
      </c>
      <c r="D86" s="1" t="s">
        <v>15</v>
      </c>
      <c r="E86" s="1" t="s">
        <v>24</v>
      </c>
      <c r="F86" s="1">
        <v>147</v>
      </c>
      <c r="G86" s="1">
        <v>20</v>
      </c>
      <c r="H86" s="1">
        <v>27987</v>
      </c>
      <c r="I86" s="3">
        <f t="shared" si="2"/>
        <v>4114089</v>
      </c>
    </row>
    <row r="87" spans="1:9" x14ac:dyDescent="0.3">
      <c r="A87" s="2" t="s">
        <v>114</v>
      </c>
      <c r="B87" s="13">
        <v>46115</v>
      </c>
      <c r="C87" s="1" t="s">
        <v>37</v>
      </c>
      <c r="D87" s="1" t="s">
        <v>15</v>
      </c>
      <c r="E87" s="1" t="s">
        <v>12</v>
      </c>
      <c r="F87" s="1">
        <v>192</v>
      </c>
      <c r="G87" s="1">
        <v>40</v>
      </c>
      <c r="H87" s="1">
        <v>20353</v>
      </c>
      <c r="I87" s="3">
        <f t="shared" si="2"/>
        <v>3907776</v>
      </c>
    </row>
    <row r="88" spans="1:9" x14ac:dyDescent="0.3">
      <c r="A88" s="2" t="s">
        <v>115</v>
      </c>
      <c r="B88" s="13">
        <v>46186</v>
      </c>
      <c r="C88" s="1" t="s">
        <v>35</v>
      </c>
      <c r="D88" s="1" t="s">
        <v>15</v>
      </c>
      <c r="E88" s="1" t="s">
        <v>12</v>
      </c>
      <c r="F88" s="1">
        <v>114</v>
      </c>
      <c r="G88" s="1">
        <v>50</v>
      </c>
      <c r="H88" s="1">
        <v>1708</v>
      </c>
      <c r="I88" s="3">
        <f t="shared" si="2"/>
        <v>194712</v>
      </c>
    </row>
    <row r="89" spans="1:9" x14ac:dyDescent="0.3">
      <c r="A89" s="2" t="s">
        <v>116</v>
      </c>
      <c r="B89" s="13">
        <v>46223</v>
      </c>
      <c r="C89" s="1" t="s">
        <v>49</v>
      </c>
      <c r="D89" s="1" t="s">
        <v>11</v>
      </c>
      <c r="E89" s="1" t="s">
        <v>12</v>
      </c>
      <c r="F89" s="1">
        <v>110</v>
      </c>
      <c r="G89" s="1">
        <v>40</v>
      </c>
      <c r="H89" s="1">
        <v>2132</v>
      </c>
      <c r="I89" s="3">
        <f t="shared" si="2"/>
        <v>234520</v>
      </c>
    </row>
    <row r="90" spans="1:9" x14ac:dyDescent="0.3">
      <c r="A90" s="2" t="s">
        <v>117</v>
      </c>
      <c r="B90" s="13">
        <v>46224</v>
      </c>
      <c r="C90" s="1" t="s">
        <v>49</v>
      </c>
      <c r="D90" s="1" t="s">
        <v>11</v>
      </c>
      <c r="E90" s="1" t="s">
        <v>12</v>
      </c>
      <c r="F90" s="1">
        <v>92</v>
      </c>
      <c r="G90" s="1">
        <v>50</v>
      </c>
      <c r="H90" s="1">
        <v>18818</v>
      </c>
      <c r="I90" s="3">
        <f t="shared" si="2"/>
        <v>1731256</v>
      </c>
    </row>
    <row r="91" spans="1:9" x14ac:dyDescent="0.3">
      <c r="A91" s="2" t="s">
        <v>118</v>
      </c>
      <c r="B91" s="13">
        <v>46138</v>
      </c>
      <c r="C91" s="1" t="s">
        <v>22</v>
      </c>
      <c r="D91" s="1" t="s">
        <v>23</v>
      </c>
      <c r="E91" s="1" t="s">
        <v>16</v>
      </c>
      <c r="F91" s="1">
        <v>184</v>
      </c>
      <c r="G91" s="1">
        <v>30</v>
      </c>
      <c r="H91" s="1">
        <v>22305</v>
      </c>
      <c r="I91" s="3">
        <f t="shared" si="2"/>
        <v>4104120</v>
      </c>
    </row>
    <row r="92" spans="1:9" x14ac:dyDescent="0.3">
      <c r="A92" s="2" t="s">
        <v>119</v>
      </c>
      <c r="B92" s="13">
        <v>46159</v>
      </c>
      <c r="C92" s="1" t="s">
        <v>37</v>
      </c>
      <c r="D92" s="1" t="s">
        <v>15</v>
      </c>
      <c r="E92" s="1" t="s">
        <v>12</v>
      </c>
      <c r="F92" s="1">
        <v>13</v>
      </c>
      <c r="G92" s="1">
        <v>10</v>
      </c>
      <c r="H92" s="1">
        <v>26661</v>
      </c>
      <c r="I92" s="3">
        <f t="shared" si="2"/>
        <v>346593</v>
      </c>
    </row>
    <row r="93" spans="1:9" x14ac:dyDescent="0.3">
      <c r="A93" s="2" t="s">
        <v>120</v>
      </c>
      <c r="B93" s="13">
        <v>46206</v>
      </c>
      <c r="C93" s="1" t="s">
        <v>43</v>
      </c>
      <c r="D93" s="1" t="s">
        <v>19</v>
      </c>
      <c r="E93" s="1" t="s">
        <v>33</v>
      </c>
      <c r="F93" s="1">
        <v>49</v>
      </c>
      <c r="G93" s="1">
        <v>40</v>
      </c>
      <c r="H93" s="1">
        <v>14477</v>
      </c>
      <c r="I93" s="3">
        <f t="shared" si="2"/>
        <v>709373</v>
      </c>
    </row>
    <row r="94" spans="1:9" x14ac:dyDescent="0.3">
      <c r="A94" s="2" t="s">
        <v>121</v>
      </c>
      <c r="B94" s="13">
        <v>46108</v>
      </c>
      <c r="C94" s="1" t="s">
        <v>22</v>
      </c>
      <c r="D94" s="1" t="s">
        <v>23</v>
      </c>
      <c r="E94" s="1" t="s">
        <v>24</v>
      </c>
      <c r="F94" s="1">
        <v>154</v>
      </c>
      <c r="G94" s="1">
        <v>20</v>
      </c>
      <c r="H94" s="1">
        <v>31181</v>
      </c>
      <c r="I94" s="3">
        <f t="shared" si="2"/>
        <v>4801874</v>
      </c>
    </row>
    <row r="95" spans="1:9" x14ac:dyDescent="0.3">
      <c r="A95" s="2" t="s">
        <v>122</v>
      </c>
      <c r="B95" s="13">
        <v>46084</v>
      </c>
      <c r="C95" s="1" t="s">
        <v>35</v>
      </c>
      <c r="D95" s="1" t="s">
        <v>15</v>
      </c>
      <c r="E95" s="1" t="s">
        <v>16</v>
      </c>
      <c r="F95" s="1">
        <v>9</v>
      </c>
      <c r="G95" s="1">
        <v>20</v>
      </c>
      <c r="H95" s="1">
        <v>28869</v>
      </c>
      <c r="I95" s="3">
        <f t="shared" si="2"/>
        <v>259821</v>
      </c>
    </row>
    <row r="96" spans="1:9" x14ac:dyDescent="0.3">
      <c r="A96" s="2" t="s">
        <v>123</v>
      </c>
      <c r="B96" s="13">
        <v>46112</v>
      </c>
      <c r="C96" s="1" t="s">
        <v>18</v>
      </c>
      <c r="D96" s="1" t="s">
        <v>19</v>
      </c>
      <c r="E96" s="1" t="s">
        <v>20</v>
      </c>
      <c r="F96" s="1">
        <v>84</v>
      </c>
      <c r="G96" s="1">
        <v>50</v>
      </c>
      <c r="H96" s="1">
        <v>52867</v>
      </c>
      <c r="I96" s="3">
        <f t="shared" si="2"/>
        <v>4440828</v>
      </c>
    </row>
    <row r="97" spans="1:9" x14ac:dyDescent="0.3">
      <c r="A97" s="2" t="s">
        <v>124</v>
      </c>
      <c r="B97" s="13">
        <v>46220</v>
      </c>
      <c r="C97" s="1" t="s">
        <v>29</v>
      </c>
      <c r="D97" s="1" t="s">
        <v>30</v>
      </c>
      <c r="E97" s="1" t="s">
        <v>16</v>
      </c>
      <c r="F97" s="1">
        <v>114</v>
      </c>
      <c r="G97" s="1">
        <v>10</v>
      </c>
      <c r="H97" s="1">
        <v>59429</v>
      </c>
      <c r="I97" s="3">
        <f t="shared" si="2"/>
        <v>6774906</v>
      </c>
    </row>
    <row r="98" spans="1:9" x14ac:dyDescent="0.3">
      <c r="A98" s="2" t="s">
        <v>125</v>
      </c>
      <c r="B98" s="13">
        <v>46134</v>
      </c>
      <c r="C98" s="1" t="s">
        <v>29</v>
      </c>
      <c r="D98" s="1" t="s">
        <v>30</v>
      </c>
      <c r="E98" s="1" t="s">
        <v>16</v>
      </c>
      <c r="F98" s="1">
        <v>110</v>
      </c>
      <c r="G98" s="1">
        <v>50</v>
      </c>
      <c r="H98" s="1">
        <v>48976</v>
      </c>
      <c r="I98" s="3">
        <f t="shared" ref="I98:I101" si="3">F98*H98</f>
        <v>5387360</v>
      </c>
    </row>
    <row r="99" spans="1:9" x14ac:dyDescent="0.3">
      <c r="A99" s="2" t="s">
        <v>126</v>
      </c>
      <c r="B99" s="13">
        <v>46140</v>
      </c>
      <c r="C99" s="1" t="s">
        <v>14</v>
      </c>
      <c r="D99" s="1" t="s">
        <v>15</v>
      </c>
      <c r="E99" s="1" t="s">
        <v>33</v>
      </c>
      <c r="F99" s="1">
        <v>14</v>
      </c>
      <c r="G99" s="1">
        <v>30</v>
      </c>
      <c r="H99" s="1">
        <v>7690</v>
      </c>
      <c r="I99" s="3">
        <f t="shared" si="3"/>
        <v>107660</v>
      </c>
    </row>
    <row r="100" spans="1:9" x14ac:dyDescent="0.3">
      <c r="A100" s="2" t="s">
        <v>127</v>
      </c>
      <c r="B100" s="13">
        <v>46169</v>
      </c>
      <c r="C100" s="1" t="s">
        <v>29</v>
      </c>
      <c r="D100" s="1" t="s">
        <v>30</v>
      </c>
      <c r="E100" s="1" t="s">
        <v>24</v>
      </c>
      <c r="F100" s="1">
        <v>194</v>
      </c>
      <c r="G100" s="1">
        <v>40</v>
      </c>
      <c r="H100" s="1">
        <v>40517</v>
      </c>
      <c r="I100" s="3">
        <f t="shared" si="3"/>
        <v>7860298</v>
      </c>
    </row>
    <row r="101" spans="1:9" x14ac:dyDescent="0.3">
      <c r="A101" s="7" t="s">
        <v>128</v>
      </c>
      <c r="B101" s="14">
        <v>46201</v>
      </c>
      <c r="C101" s="8" t="s">
        <v>29</v>
      </c>
      <c r="D101" s="8" t="s">
        <v>30</v>
      </c>
      <c r="E101" s="8" t="s">
        <v>20</v>
      </c>
      <c r="F101" s="8">
        <v>29</v>
      </c>
      <c r="G101" s="8">
        <v>20</v>
      </c>
      <c r="H101" s="8">
        <v>3833</v>
      </c>
      <c r="I101" s="9">
        <f t="shared" si="3"/>
        <v>111157</v>
      </c>
    </row>
  </sheetData>
  <pageMargins left="0.75" right="0.75" top="1" bottom="1" header="0.5" footer="0.5"/>
  <pageSetup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2BE90B-2088-4A68-A1DE-3E732973B381}">
  <dimension ref="B3:B16"/>
  <sheetViews>
    <sheetView workbookViewId="0">
      <selection activeCell="B12" sqref="B12"/>
    </sheetView>
  </sheetViews>
  <sheetFormatPr defaultRowHeight="14.4" x14ac:dyDescent="0.3"/>
  <cols>
    <col min="1" max="1" width="8.88671875" style="19"/>
    <col min="2" max="2" width="44.44140625" style="19" customWidth="1"/>
    <col min="3" max="16384" width="8.88671875" style="19"/>
  </cols>
  <sheetData>
    <row r="3" spans="2:2" x14ac:dyDescent="0.3">
      <c r="B3" s="18" t="s">
        <v>146</v>
      </c>
    </row>
    <row r="4" spans="2:2" x14ac:dyDescent="0.3">
      <c r="B4" s="20" t="s">
        <v>147</v>
      </c>
    </row>
    <row r="5" spans="2:2" x14ac:dyDescent="0.3">
      <c r="B5" s="20" t="s">
        <v>148</v>
      </c>
    </row>
    <row r="6" spans="2:2" x14ac:dyDescent="0.3">
      <c r="B6" s="20" t="s">
        <v>150</v>
      </c>
    </row>
    <row r="7" spans="2:2" x14ac:dyDescent="0.3">
      <c r="B7" s="20" t="s">
        <v>151</v>
      </c>
    </row>
    <row r="9" spans="2:2" x14ac:dyDescent="0.3">
      <c r="B9" s="18" t="s">
        <v>152</v>
      </c>
    </row>
    <row r="10" spans="2:2" x14ac:dyDescent="0.3">
      <c r="B10" s="20" t="s">
        <v>153</v>
      </c>
    </row>
    <row r="11" spans="2:2" x14ac:dyDescent="0.3">
      <c r="B11" s="20" t="s">
        <v>155</v>
      </c>
    </row>
    <row r="12" spans="2:2" x14ac:dyDescent="0.3">
      <c r="B12" s="20" t="s">
        <v>156</v>
      </c>
    </row>
    <row r="13" spans="2:2" x14ac:dyDescent="0.3">
      <c r="B13" s="20" t="s">
        <v>157</v>
      </c>
    </row>
    <row r="14" spans="2:2" x14ac:dyDescent="0.3">
      <c r="B14" s="20" t="s">
        <v>158</v>
      </c>
    </row>
    <row r="16" spans="2:2" x14ac:dyDescent="0.3">
      <c r="B16" s="19" t="s">
        <v>154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E8FD72-8DA2-446D-B2C3-FCAAF3EAA956}">
  <dimension ref="A1:H44"/>
  <sheetViews>
    <sheetView topLeftCell="D1" workbookViewId="0">
      <selection activeCell="C29" sqref="C29"/>
    </sheetView>
  </sheetViews>
  <sheetFormatPr defaultRowHeight="14.4" x14ac:dyDescent="0.3"/>
  <cols>
    <col min="1" max="1" width="24.77734375" bestFit="1" customWidth="1"/>
    <col min="2" max="2" width="12.5546875" bestFit="1" customWidth="1"/>
    <col min="3" max="3" width="15.5546875" bestFit="1" customWidth="1"/>
    <col min="4" max="4" width="9" bestFit="1" customWidth="1"/>
    <col min="5" max="5" width="7.44140625" bestFit="1" customWidth="1"/>
    <col min="6" max="6" width="12.5546875" bestFit="1" customWidth="1"/>
    <col min="7" max="7" width="17.5546875" bestFit="1" customWidth="1"/>
    <col min="8" max="8" width="10.77734375" bestFit="1" customWidth="1"/>
    <col min="9" max="9" width="7.44140625" bestFit="1" customWidth="1"/>
    <col min="10" max="10" width="10.109375" bestFit="1" customWidth="1"/>
    <col min="11" max="11" width="13.88671875" bestFit="1" customWidth="1"/>
    <col min="12" max="12" width="10.77734375" bestFit="1" customWidth="1"/>
  </cols>
  <sheetData>
    <row r="1" spans="1:7" x14ac:dyDescent="0.3">
      <c r="A1" t="s">
        <v>131</v>
      </c>
      <c r="B1" t="s">
        <v>18</v>
      </c>
    </row>
    <row r="2" spans="1:7" x14ac:dyDescent="0.3">
      <c r="A2" t="s">
        <v>132</v>
      </c>
      <c r="B2" t="s">
        <v>137</v>
      </c>
    </row>
    <row r="3" spans="1:7" x14ac:dyDescent="0.3">
      <c r="A3" t="s">
        <v>145</v>
      </c>
      <c r="B3" t="s">
        <v>142</v>
      </c>
    </row>
    <row r="4" spans="1:7" x14ac:dyDescent="0.3">
      <c r="F4" s="10" t="s">
        <v>133</v>
      </c>
      <c r="G4" t="s">
        <v>135</v>
      </c>
    </row>
    <row r="5" spans="1:7" x14ac:dyDescent="0.3">
      <c r="F5" s="11" t="s">
        <v>18</v>
      </c>
      <c r="G5">
        <v>1637</v>
      </c>
    </row>
    <row r="6" spans="1:7" x14ac:dyDescent="0.3">
      <c r="F6" s="11" t="s">
        <v>32</v>
      </c>
      <c r="G6">
        <v>1448</v>
      </c>
    </row>
    <row r="7" spans="1:7" x14ac:dyDescent="0.3">
      <c r="F7" s="11" t="s">
        <v>37</v>
      </c>
      <c r="G7">
        <v>1189</v>
      </c>
    </row>
    <row r="8" spans="1:7" x14ac:dyDescent="0.3">
      <c r="F8" s="11" t="s">
        <v>22</v>
      </c>
      <c r="G8">
        <v>1131</v>
      </c>
    </row>
    <row r="9" spans="1:7" x14ac:dyDescent="0.3">
      <c r="F9" s="11" t="s">
        <v>10</v>
      </c>
      <c r="G9">
        <v>1086</v>
      </c>
    </row>
    <row r="10" spans="1:7" x14ac:dyDescent="0.3">
      <c r="F10" s="11" t="s">
        <v>29</v>
      </c>
      <c r="G10">
        <v>949</v>
      </c>
    </row>
    <row r="11" spans="1:7" x14ac:dyDescent="0.3">
      <c r="F11" s="11" t="s">
        <v>43</v>
      </c>
      <c r="G11">
        <v>834</v>
      </c>
    </row>
    <row r="12" spans="1:7" x14ac:dyDescent="0.3">
      <c r="F12" s="11" t="s">
        <v>35</v>
      </c>
      <c r="G12">
        <v>800</v>
      </c>
    </row>
    <row r="13" spans="1:7" x14ac:dyDescent="0.3">
      <c r="F13" s="11" t="s">
        <v>49</v>
      </c>
      <c r="G13">
        <v>659</v>
      </c>
    </row>
    <row r="14" spans="1:7" x14ac:dyDescent="0.3">
      <c r="F14" s="11" t="s">
        <v>14</v>
      </c>
      <c r="G14">
        <v>408</v>
      </c>
    </row>
    <row r="15" spans="1:7" x14ac:dyDescent="0.3">
      <c r="F15" s="11" t="s">
        <v>134</v>
      </c>
      <c r="G15">
        <v>10141</v>
      </c>
    </row>
    <row r="19" spans="2:8" x14ac:dyDescent="0.3">
      <c r="B19" s="10" t="s">
        <v>135</v>
      </c>
      <c r="C19" s="10" t="s">
        <v>136</v>
      </c>
    </row>
    <row r="20" spans="2:8" x14ac:dyDescent="0.3">
      <c r="B20" s="10" t="s">
        <v>133</v>
      </c>
      <c r="C20" t="s">
        <v>20</v>
      </c>
      <c r="D20" t="s">
        <v>24</v>
      </c>
      <c r="E20" t="s">
        <v>16</v>
      </c>
      <c r="F20" t="s">
        <v>12</v>
      </c>
      <c r="G20" t="s">
        <v>33</v>
      </c>
      <c r="H20" t="s">
        <v>134</v>
      </c>
    </row>
    <row r="21" spans="2:8" x14ac:dyDescent="0.3">
      <c r="B21" s="11" t="s">
        <v>18</v>
      </c>
      <c r="C21">
        <v>563</v>
      </c>
      <c r="D21">
        <v>184</v>
      </c>
      <c r="E21">
        <v>356</v>
      </c>
      <c r="F21">
        <v>358</v>
      </c>
      <c r="G21">
        <v>176</v>
      </c>
      <c r="H21">
        <v>1637</v>
      </c>
    </row>
    <row r="22" spans="2:8" x14ac:dyDescent="0.3">
      <c r="B22" s="11" t="s">
        <v>32</v>
      </c>
      <c r="C22">
        <v>618</v>
      </c>
      <c r="D22">
        <v>230</v>
      </c>
      <c r="E22">
        <v>54</v>
      </c>
      <c r="F22">
        <v>99</v>
      </c>
      <c r="G22">
        <v>447</v>
      </c>
      <c r="H22">
        <v>1448</v>
      </c>
    </row>
    <row r="23" spans="2:8" x14ac:dyDescent="0.3">
      <c r="B23" s="11" t="s">
        <v>37</v>
      </c>
      <c r="C23">
        <v>368</v>
      </c>
      <c r="D23">
        <v>422</v>
      </c>
      <c r="E23">
        <v>125</v>
      </c>
      <c r="F23">
        <v>205</v>
      </c>
      <c r="G23">
        <v>69</v>
      </c>
      <c r="H23">
        <v>1189</v>
      </c>
    </row>
    <row r="24" spans="2:8" x14ac:dyDescent="0.3">
      <c r="B24" s="11" t="s">
        <v>22</v>
      </c>
      <c r="C24">
        <v>119</v>
      </c>
      <c r="D24">
        <v>478</v>
      </c>
      <c r="E24">
        <v>449</v>
      </c>
      <c r="F24">
        <v>85</v>
      </c>
      <c r="H24">
        <v>1131</v>
      </c>
    </row>
    <row r="25" spans="2:8" x14ac:dyDescent="0.3">
      <c r="B25" s="11" t="s">
        <v>10</v>
      </c>
      <c r="C25">
        <v>368</v>
      </c>
      <c r="D25">
        <v>129</v>
      </c>
      <c r="E25">
        <v>154</v>
      </c>
      <c r="F25">
        <v>149</v>
      </c>
      <c r="G25">
        <v>286</v>
      </c>
      <c r="H25">
        <v>1086</v>
      </c>
    </row>
    <row r="26" spans="2:8" x14ac:dyDescent="0.3">
      <c r="B26" s="11" t="s">
        <v>29</v>
      </c>
      <c r="C26">
        <v>145</v>
      </c>
      <c r="D26">
        <v>291</v>
      </c>
      <c r="E26">
        <v>243</v>
      </c>
      <c r="G26">
        <v>270</v>
      </c>
      <c r="H26">
        <v>949</v>
      </c>
    </row>
    <row r="27" spans="2:8" x14ac:dyDescent="0.3">
      <c r="B27" s="11" t="s">
        <v>43</v>
      </c>
      <c r="C27">
        <v>67</v>
      </c>
      <c r="D27">
        <v>194</v>
      </c>
      <c r="E27">
        <v>344</v>
      </c>
      <c r="F27">
        <v>180</v>
      </c>
      <c r="G27">
        <v>49</v>
      </c>
      <c r="H27">
        <v>834</v>
      </c>
    </row>
    <row r="28" spans="2:8" x14ac:dyDescent="0.3">
      <c r="B28" s="11" t="s">
        <v>35</v>
      </c>
      <c r="C28">
        <v>387</v>
      </c>
      <c r="D28">
        <v>227</v>
      </c>
      <c r="E28">
        <v>9</v>
      </c>
      <c r="F28">
        <v>155</v>
      </c>
      <c r="G28">
        <v>22</v>
      </c>
      <c r="H28">
        <v>800</v>
      </c>
    </row>
    <row r="29" spans="2:8" x14ac:dyDescent="0.3">
      <c r="B29" s="11" t="s">
        <v>49</v>
      </c>
      <c r="D29">
        <v>57</v>
      </c>
      <c r="E29">
        <v>182</v>
      </c>
      <c r="F29">
        <v>399</v>
      </c>
      <c r="G29">
        <v>21</v>
      </c>
      <c r="H29">
        <v>659</v>
      </c>
    </row>
    <row r="30" spans="2:8" x14ac:dyDescent="0.3">
      <c r="B30" s="11" t="s">
        <v>14</v>
      </c>
      <c r="D30">
        <v>78</v>
      </c>
      <c r="E30">
        <v>94</v>
      </c>
      <c r="F30">
        <v>48</v>
      </c>
      <c r="G30">
        <v>188</v>
      </c>
      <c r="H30">
        <v>408</v>
      </c>
    </row>
    <row r="31" spans="2:8" x14ac:dyDescent="0.3">
      <c r="B31" s="11" t="s">
        <v>134</v>
      </c>
      <c r="C31">
        <v>2635</v>
      </c>
      <c r="D31">
        <v>2290</v>
      </c>
      <c r="E31">
        <v>2010</v>
      </c>
      <c r="F31">
        <v>1678</v>
      </c>
      <c r="G31">
        <v>1528</v>
      </c>
      <c r="H31">
        <v>10141</v>
      </c>
    </row>
    <row r="36" spans="6:7" x14ac:dyDescent="0.3">
      <c r="F36" s="10" t="s">
        <v>133</v>
      </c>
      <c r="G36" t="s">
        <v>129</v>
      </c>
    </row>
    <row r="37" spans="6:7" x14ac:dyDescent="0.3">
      <c r="F37" s="11" t="s">
        <v>142</v>
      </c>
      <c r="G37" s="16">
        <v>54977556</v>
      </c>
    </row>
    <row r="38" spans="6:7" x14ac:dyDescent="0.3">
      <c r="F38" s="11" t="s">
        <v>138</v>
      </c>
      <c r="G38" s="16">
        <v>54902022</v>
      </c>
    </row>
    <row r="39" spans="6:7" x14ac:dyDescent="0.3">
      <c r="F39" s="11" t="s">
        <v>144</v>
      </c>
      <c r="G39" s="16">
        <v>54867498</v>
      </c>
    </row>
    <row r="40" spans="6:7" x14ac:dyDescent="0.3">
      <c r="F40" s="11" t="s">
        <v>143</v>
      </c>
      <c r="G40" s="16">
        <v>43229995</v>
      </c>
    </row>
    <row r="41" spans="6:7" x14ac:dyDescent="0.3">
      <c r="F41" s="11" t="s">
        <v>141</v>
      </c>
      <c r="G41" s="16">
        <v>36248497</v>
      </c>
    </row>
    <row r="42" spans="6:7" x14ac:dyDescent="0.3">
      <c r="F42" s="11" t="s">
        <v>140</v>
      </c>
      <c r="G42" s="16">
        <v>34524085</v>
      </c>
    </row>
    <row r="43" spans="6:7" x14ac:dyDescent="0.3">
      <c r="F43" s="11" t="s">
        <v>139</v>
      </c>
      <c r="G43" s="16">
        <v>26882350</v>
      </c>
    </row>
    <row r="44" spans="6:7" x14ac:dyDescent="0.3">
      <c r="F44" s="11" t="s">
        <v>134</v>
      </c>
      <c r="G44" s="16">
        <v>305632003</v>
      </c>
    </row>
  </sheetData>
  <pageMargins left="0.7" right="0.7" top="0.75" bottom="0.75" header="0.3" footer="0.3"/>
  <drawing r:id="rId4"/>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00D84F-1D19-4A62-A020-0505F154C535}">
  <dimension ref="A1"/>
  <sheetViews>
    <sheetView showGridLines="0" topLeftCell="A3" workbookViewId="0">
      <selection activeCell="Y24" sqref="Y24"/>
    </sheetView>
  </sheetViews>
  <sheetFormatPr defaultRowHeight="14.4" x14ac:dyDescent="0.3"/>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pivots</vt:lpstr>
      <vt:lpstr>Dashboard2</vt:lpstr>
      <vt:lpstr>Inventory_Data</vt:lpstr>
      <vt:lpstr>KPIs&amp;Questions</vt:lpstr>
      <vt:lpstr>Analysis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Sasipriya R</cp:lastModifiedBy>
  <dcterms:created xsi:type="dcterms:W3CDTF">2026-08-01T16:45:49Z</dcterms:created>
  <dcterms:modified xsi:type="dcterms:W3CDTF">2026-08-31T11:22:57Z</dcterms:modified>
</cp:coreProperties>
</file>